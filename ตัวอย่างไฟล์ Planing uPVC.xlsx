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ใบงานแอดมิน\3G\00แผนผลิต 2569\"/>
    </mc:Choice>
  </mc:AlternateContent>
  <xr:revisionPtr revIDLastSave="0" documentId="13_ncr:1_{33588BDD-ECED-4C5F-9BE8-F098B27CEFB7}" xr6:coauthVersionLast="47" xr6:coauthVersionMax="47" xr10:uidLastSave="{00000000-0000-0000-0000-000000000000}"/>
  <bookViews>
    <workbookView xWindow="-120" yWindow="-120" windowWidth="24240" windowHeight="13020" tabRatio="736" activeTab="1" xr2:uid="{07EED64D-CF28-48C5-B159-2EE100DADBB3}"/>
  </bookViews>
  <sheets>
    <sheet name="0416 " sheetId="19" r:id="rId1"/>
    <sheet name="0417" sheetId="10" r:id="rId2"/>
    <sheet name="0121" sheetId="12" r:id="rId3"/>
    <sheet name="0219 " sheetId="18" r:id="rId4"/>
    <sheet name="0303" sheetId="14" r:id="rId5"/>
  </sheets>
  <definedNames>
    <definedName name="_xlnm._FilterDatabase" localSheetId="2" hidden="1">'0121'!$A$3:$R$22</definedName>
    <definedName name="_xlnm._FilterDatabase" localSheetId="3" hidden="1">'0219 '!$A$3:$Q$17</definedName>
    <definedName name="_xlnm._FilterDatabase" localSheetId="4" hidden="1">'0303'!$A$3:$Q$13</definedName>
    <definedName name="_xlnm._FilterDatabase" localSheetId="0" hidden="1">'0416 '!$A$3:$Q$19</definedName>
    <definedName name="_xlnm._FilterDatabase" localSheetId="1" hidden="1">'0417'!$A$3:$Q$8</definedName>
    <definedName name="_xlnm.Print_Titles" localSheetId="3">'0219 '!$1:$3</definedName>
    <definedName name="_xlnm.Print_Titles" localSheetId="0">'0416 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9" l="1"/>
  <c r="J6" i="19"/>
  <c r="J7" i="19"/>
  <c r="J8" i="19"/>
  <c r="J9" i="19"/>
  <c r="J10" i="19"/>
  <c r="J11" i="19"/>
  <c r="J12" i="19"/>
  <c r="J13" i="19"/>
  <c r="J14" i="19"/>
  <c r="J15" i="19"/>
  <c r="J16" i="19"/>
  <c r="J17" i="19"/>
  <c r="J4" i="19"/>
  <c r="J5" i="10"/>
  <c r="J6" i="10"/>
  <c r="J4" i="10"/>
  <c r="J5" i="18"/>
  <c r="J6" i="18"/>
  <c r="J7" i="18"/>
  <c r="J8" i="18"/>
  <c r="J9" i="18"/>
  <c r="J10" i="18"/>
  <c r="J11" i="18"/>
  <c r="J12" i="18"/>
  <c r="J13" i="18"/>
  <c r="J14" i="18"/>
  <c r="J15" i="18"/>
  <c r="J4" i="18"/>
  <c r="J5" i="14"/>
  <c r="J6" i="14"/>
  <c r="J7" i="14"/>
  <c r="J8" i="14"/>
  <c r="J9" i="14"/>
  <c r="J10" i="14"/>
  <c r="J11" i="14"/>
  <c r="J4" i="14"/>
  <c r="K12" i="12"/>
  <c r="K13" i="12"/>
  <c r="K14" i="12"/>
  <c r="K15" i="12"/>
  <c r="K16" i="12"/>
  <c r="K17" i="12"/>
  <c r="K18" i="12"/>
  <c r="K19" i="12"/>
  <c r="K20" i="12"/>
  <c r="K11" i="12" l="1"/>
  <c r="K10" i="12"/>
  <c r="K9" i="12"/>
  <c r="K8" i="12"/>
  <c r="M21" i="12" l="1"/>
  <c r="K7" i="12"/>
  <c r="G16" i="18" l="1"/>
  <c r="H16" i="18"/>
  <c r="I16" i="18"/>
  <c r="L16" i="18"/>
  <c r="M16" i="18"/>
  <c r="K6" i="12"/>
  <c r="K5" i="12"/>
  <c r="K4" i="12"/>
  <c r="K21" i="12" l="1"/>
  <c r="J16" i="18"/>
  <c r="J18" i="19"/>
  <c r="J12" i="14" l="1"/>
  <c r="J7" i="10"/>
  <c r="M18" i="19" l="1"/>
  <c r="L18" i="19"/>
  <c r="G18" i="19"/>
  <c r="H18" i="19"/>
  <c r="I18" i="19"/>
  <c r="M7" i="10"/>
  <c r="L7" i="10"/>
  <c r="G7" i="10"/>
  <c r="H7" i="10"/>
  <c r="I7" i="10"/>
  <c r="N21" i="12"/>
  <c r="J21" i="12"/>
  <c r="I21" i="12"/>
  <c r="H21" i="12"/>
  <c r="M12" i="14"/>
  <c r="L12" i="14"/>
  <c r="I12" i="14"/>
  <c r="H12" i="14"/>
  <c r="G12" i="14"/>
</calcChain>
</file>

<file path=xl/sharedStrings.xml><?xml version="1.0" encoding="utf-8"?>
<sst xmlns="http://schemas.openxmlformats.org/spreadsheetml/2006/main" count="426" uniqueCount="144">
  <si>
    <t>Doc. No.</t>
  </si>
  <si>
    <t>Product No.</t>
  </si>
  <si>
    <t>Product Description</t>
  </si>
  <si>
    <t>Order Date</t>
  </si>
  <si>
    <t>Start Date</t>
  </si>
  <si>
    <t>Due Date</t>
  </si>
  <si>
    <t>Planned</t>
  </si>
  <si>
    <t>Completed</t>
  </si>
  <si>
    <t>Open</t>
  </si>
  <si>
    <t>งานออกประจำวัน</t>
  </si>
  <si>
    <t>so.ประจำวัน</t>
  </si>
  <si>
    <t>STOCK</t>
  </si>
  <si>
    <t>คงเหลือ</t>
  </si>
  <si>
    <t>หมายเหตุ</t>
  </si>
  <si>
    <t>รายวัน</t>
  </si>
  <si>
    <t>OT</t>
  </si>
  <si>
    <t>FR-PD-01 REV No.00, 01.12.2023</t>
  </si>
  <si>
    <t>คลัง 0416</t>
  </si>
  <si>
    <t>คลัง 0417</t>
  </si>
  <si>
    <t>คลัง 0219</t>
  </si>
  <si>
    <t>คลัง 0121</t>
  </si>
  <si>
    <t>SO.</t>
  </si>
  <si>
    <t>คลัง 0303</t>
  </si>
  <si>
    <t>FUS28-D8112-200205</t>
  </si>
  <si>
    <t>FU S85 WINDOW ASIA ปต. SS+คิ้ว มุ้ง สีขาว 200x205</t>
  </si>
  <si>
    <t xml:space="preserve"> </t>
  </si>
  <si>
    <t>FUS00-W0512-060110</t>
  </si>
  <si>
    <t>FU F100  นต. บานเปิดเดี่ยว มุ้ง สีขาว 60x110</t>
  </si>
  <si>
    <t>FUS00-W0412-080050</t>
  </si>
  <si>
    <t>FU F100  นต. กระทุ้ง มุ้ง สีขาว 80x50</t>
  </si>
  <si>
    <t>FUS00-W2212-240110</t>
  </si>
  <si>
    <t>FU F100  นต. SSSS มุ้ง สีขาว 240x110</t>
  </si>
  <si>
    <t>FUW00-W7012-120110</t>
  </si>
  <si>
    <t>FU ECO 60-100 นต. SS+เหล็กดัดลายนก (ไม่แต้มสี) มุ้ง สีขาว 120x110</t>
  </si>
  <si>
    <t>FUS00-W0212-180110</t>
  </si>
  <si>
    <t>FU F100  นต. SFS มุ้ง สีขาว 180x110</t>
  </si>
  <si>
    <t>FUE00-W0112-100100</t>
  </si>
  <si>
    <t>FU ECO 60  นต. SS มุ้ง สีขาว 100x100</t>
  </si>
  <si>
    <t>FUW22-W0112-120110</t>
  </si>
  <si>
    <t>FU ECO 60-100 WINDOW ASIA นต. SS มุ้ง สีขาว 120x110</t>
  </si>
  <si>
    <t>FUS00-W0112-150110</t>
  </si>
  <si>
    <t>FU F100  นต. SS มุ้ง สีขาว 150x110</t>
  </si>
  <si>
    <t>FUS09-W22512-120110</t>
  </si>
  <si>
    <t>FU F100 FRAMEX นต. SS+ลูกฟัก 6 ช่อง มุ้ง สีขาว 120x110</t>
  </si>
  <si>
    <t>FUS00-D0112-200205</t>
  </si>
  <si>
    <t>FU S85 ปต. SS มุ้ง สีขาว 200x205</t>
  </si>
  <si>
    <t>FUS32-D0112-160205</t>
  </si>
  <si>
    <t>FU S85 FRAMEX ปต. SS มุ้ง สีขาว 160x205</t>
  </si>
  <si>
    <t>03.06.26</t>
  </si>
  <si>
    <t>STOCK.</t>
  </si>
  <si>
    <t>FUS09-W0112-100110</t>
  </si>
  <si>
    <t>FU F100 FRAMEX นต. SS มุ้ง สีขาว 100x110</t>
  </si>
  <si>
    <t>FUS00-W0112-120110</t>
  </si>
  <si>
    <t>FU F100 นต. SS มุ้ง สีขาว 120x110</t>
  </si>
  <si>
    <t>11.06.26</t>
  </si>
  <si>
    <t>FUS09-W22612-120110</t>
  </si>
  <si>
    <t>FU F100 FRAMEX นต. SS+ลูกฟัก 8 ช่อง มุ้ง สีขาว 120x110</t>
  </si>
  <si>
    <t>FUE00-W0112-120110</t>
  </si>
  <si>
    <t>FU ECO 60  นต. SS มุ้ง สีขาว 120x110</t>
  </si>
  <si>
    <t>FUE00-W0112-080050</t>
  </si>
  <si>
    <t>FU ECO 60  นต. SS มุ้ง สีขาว 80x50</t>
  </si>
  <si>
    <t>04.06.26</t>
  </si>
  <si>
    <t>12.06.26</t>
  </si>
  <si>
    <t>05.06.26</t>
  </si>
  <si>
    <t>13.06.26</t>
  </si>
  <si>
    <t>ไทวัสดุ บางนา</t>
  </si>
  <si>
    <t>FUS28-D2212-240196</t>
  </si>
  <si>
    <t>FU S85  WINDOW ASIA ปต. SSSS มุ้ง สีขาว 240x196</t>
  </si>
  <si>
    <t>16.06.26</t>
  </si>
  <si>
    <t>25.06.26</t>
  </si>
  <si>
    <t>24.06.26</t>
  </si>
  <si>
    <t>06.06.26</t>
  </si>
  <si>
    <t>08.06.26</t>
  </si>
  <si>
    <t>20.06.26</t>
  </si>
  <si>
    <t>FUW22-W11412-100100</t>
  </si>
  <si>
    <t>FU ECO 60-100 WINDOW ASIA นต. SS+เหล็กดัดลายดอกทานตะวัน (แต้มสี) มุ้ง สีขาว 100x100</t>
  </si>
  <si>
    <t>FUS28-D3312-160205</t>
  </si>
  <si>
    <t>FU S85  WINDOW ASIA ปต. SS กระจกลามิเนท มุ้ง สีขาว 160x205</t>
  </si>
  <si>
    <t>ไทวัสดุ ภูเก็ต (ฉลอง)</t>
  </si>
  <si>
    <t>09.06.26</t>
  </si>
  <si>
    <t>FUW22-W11412-120110</t>
  </si>
  <si>
    <t>FU ECO 60-100 WINDOW ASIA นต. SS+เหล็กดัดลายดอกทานตะวัน (แต้มสี) มุ้ง สีขาว 120x110</t>
  </si>
  <si>
    <t>15.06.26</t>
  </si>
  <si>
    <t>23.06.26</t>
  </si>
  <si>
    <t>FUW22-W6512-100100</t>
  </si>
  <si>
    <t>FU ECO 60-100 WINDOW ASIA นต. SS+เหล็กดัดลายทะเล (แต้มสี) มุ้ง สีขาว 100x100</t>
  </si>
  <si>
    <t>FUS28-D03122-240210</t>
  </si>
  <si>
    <t>FU S85  WINDOW ASIA ปต. FSSF มุ้ง สีดำลามิเนทลายซาฮาร่า 240x210</t>
  </si>
  <si>
    <t>FUS22-W0312-167154</t>
  </si>
  <si>
    <t>FU F100 WINDOW ASIA นต. FSSF มุ้ง สีขาว 167x154</t>
  </si>
  <si>
    <t>FUS22-W0112-140120</t>
  </si>
  <si>
    <t>FU F100 WINDOW ASIA นต. SS มุ้ง สีขาว 140x120</t>
  </si>
  <si>
    <t>FUS22-W0112-235160</t>
  </si>
  <si>
    <t>FU F100 WINDOW ASIA นต. SS มุ้ง สีขาว 235x160</t>
  </si>
  <si>
    <t>FUS22-W0112-122160</t>
  </si>
  <si>
    <t>FU F100 WINDOW ASIA นต. SS มุ้ง สีขาว 122x160</t>
  </si>
  <si>
    <t>FUS22-W0112-142159</t>
  </si>
  <si>
    <t>FU F100 WINDOW ASIA นต. SS มุ้ง สีขาว 142x159</t>
  </si>
  <si>
    <t>13.07.26</t>
  </si>
  <si>
    <t>18.06.26</t>
  </si>
  <si>
    <t>06.07.26</t>
  </si>
  <si>
    <t>โฮมโปร ลำลูก</t>
  </si>
  <si>
    <t>ไทวัสดุ ภูเก็ต (ถลาง)</t>
  </si>
  <si>
    <t>โฮมโปร พัทยาเหนือ</t>
  </si>
  <si>
    <t>FUS09-F1022-180040</t>
  </si>
  <si>
    <t>FU F100 FRAMEX ช่องแสง FIX สีขาว 180x40</t>
  </si>
  <si>
    <t>26.06.26</t>
  </si>
  <si>
    <t>19.06.26</t>
  </si>
  <si>
    <t>27.06.26</t>
  </si>
  <si>
    <t>FUS28-D0112-160205</t>
  </si>
  <si>
    <t>FU S85 WINDOW ASIA ปต. SS มุ้ง สีขาว 160x205</t>
  </si>
  <si>
    <t>FUS00-D01122-200205</t>
  </si>
  <si>
    <t>FU S85 ปต. SS มุ้ง สีดำลามิเนทลายซาฮาร่า 200x205</t>
  </si>
  <si>
    <t>FUS09-F1022-100040</t>
  </si>
  <si>
    <t>FU F100 FRAMEX ช่องแสง FIX สีขาว 100x40</t>
  </si>
  <si>
    <t>FUS09-F1022-060040</t>
  </si>
  <si>
    <t>FU F100 FRAMEX ช่องแสง FIX สีขาว 60x40</t>
  </si>
  <si>
    <t>FUS22-W0112-080050</t>
  </si>
  <si>
    <t>FU F100 WINDOW ASIA นต. SS มุ้ง สีขาว 80x50</t>
  </si>
  <si>
    <t>FUW22-W12112-100100</t>
  </si>
  <si>
    <t>FU ECO 60-100 WINDOW ASIA นต. SS+เหล็กดัดลายดอกทานตะวัน (ไม่แต้มสี) มุ้ง สีขาว 100x100</t>
  </si>
  <si>
    <t>งานออก 20.06.26</t>
  </si>
  <si>
    <t>ไทวัสดุ สกลนคร</t>
  </si>
  <si>
    <t>ไทวัสดุ หนองบัวลำภู</t>
  </si>
  <si>
    <t>โฮมโปร ขอนแก่น</t>
  </si>
  <si>
    <t>ไทวัสดุ กาฬสินธุ์</t>
  </si>
  <si>
    <t>โฮมโปร ลำลูกกา</t>
  </si>
  <si>
    <t>ไทวัสดุ แพร่</t>
  </si>
  <si>
    <t>ไทวัสดุ ลำปาง</t>
  </si>
  <si>
    <t>FUS28-D0312-360205</t>
  </si>
  <si>
    <t>FU S85  WINDOW ASIA ปต. FSSF มุ้ง สีขาว 360x205</t>
  </si>
  <si>
    <t>FUS28-D2512-383245</t>
  </si>
  <si>
    <t>FU S85  WINDOW ASIA ปต. FSSF+ช่องแสง มุ้ง สีขาว 383x245</t>
  </si>
  <si>
    <t>FUE22-W40112-120100</t>
  </si>
  <si>
    <t>FU ECO 60 WINDOW ASIA นต. SS กระจกเทมเปอร์ 6 mm. มุ้ง สีขาว 120x100</t>
  </si>
  <si>
    <t>FUE22-F40022-195100</t>
  </si>
  <si>
    <t>FU ECO 60 WINDOW ASIA ช่องแสง กระจกเทมเปอร์ 6 mm. สีขาว 195x100</t>
  </si>
  <si>
    <t>FUS22-W0112-1190545</t>
  </si>
  <si>
    <t>FU F100 WINDOW ASIA นต. SS มุ้ง สีขาว 119x54.5</t>
  </si>
  <si>
    <t>FUS22-W7112-060110</t>
  </si>
  <si>
    <t>FU F100 WINDOW ASIA นต. บานเปิดเดี่ยว L มุ้ง สีขาว 60x110</t>
  </si>
  <si>
    <t>17.07.26</t>
  </si>
  <si>
    <t>10.07.26</t>
  </si>
  <si>
    <t>แผนผลิตประจำวันที่ 20.06.26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</si>
</sst>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36"/>
      <name val="Angsana New"/>
      <family val="1"/>
    </font>
    <font>
      <sz val="11"/>
      <color theme="1"/>
      <name val="Tahoma"/>
      <family val="2"/>
      <charset val="238"/>
      <scheme val="minor"/>
    </font>
    <font>
      <sz val="11"/>
      <color theme="1"/>
      <name val="Tahoma"/>
      <family val="2"/>
      <scheme val="minor"/>
    </font>
    <font>
      <sz val="36"/>
      <name val="Angsana New"/>
      <family val="1"/>
    </font>
    <font>
      <b/>
      <sz val="28"/>
      <name val="Angsana New"/>
      <family val="1"/>
    </font>
    <font>
      <b/>
      <sz val="48"/>
      <name val="Angsana New"/>
      <family val="1"/>
    </font>
    <font>
      <b/>
      <sz val="40"/>
      <name val="Angsana New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7">
    <cellStyle name="Comma 2" xfId="2" xr:uid="{05B88052-E0D5-4052-9824-43292A34DA22}"/>
    <cellStyle name="Comma 2 2" xfId="4" xr:uid="{D6003BC2-FA60-47C4-8779-39792FCA6FBA}"/>
    <cellStyle name="Comma 2 2 2" xfId="6" xr:uid="{84C1FCF9-82D7-450E-8513-79A83834204F}"/>
    <cellStyle name="Comma 2 3" xfId="5" xr:uid="{ACFC82D4-4724-4476-ADE7-DA7264EB40C6}"/>
    <cellStyle name="Normal 2" xfId="3" xr:uid="{E10F222C-71AB-4158-A0F0-DA96AED92EA3}"/>
    <cellStyle name="Normal 3" xfId="1" xr:uid="{8F97F728-61C8-408E-BDCB-14078DB8DE78}"/>
    <cellStyle name="ปกติ" xfId="0" builtinId="0"/>
  </cellStyles>
  <dxfs count="0"/>
  <tableStyles count="0" defaultTableStyle="TableStyleMedium2" defaultPivotStyle="PivotStyleLight16"/>
  <colors>
    <mruColors>
      <color rgb="FFCCCCFF"/>
      <color rgb="FFFFCCFF"/>
      <color rgb="FFE9C2FE"/>
      <color rgb="FFFCC9AA"/>
      <color rgb="FFDCB9FF"/>
      <color rgb="FFBAFED9"/>
      <color rgb="FFFFC5F8"/>
      <color rgb="FFCC99FF"/>
      <color rgb="FF66FFFF"/>
      <color rgb="FFB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71438</xdr:rowOff>
    </xdr:from>
    <xdr:to>
      <xdr:col>4</xdr:col>
      <xdr:colOff>169014</xdr:colOff>
      <xdr:row>1</xdr:row>
      <xdr:rowOff>55563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385D8-F89C-4031-9D2F-41739B70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38"/>
          <a:ext cx="12646764" cy="212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17738</xdr:rowOff>
    </xdr:from>
    <xdr:to>
      <xdr:col>2</xdr:col>
      <xdr:colOff>4333874</xdr:colOff>
      <xdr:row>1</xdr:row>
      <xdr:rowOff>4927</xdr:rowOff>
    </xdr:to>
    <xdr:pic>
      <xdr:nvPicPr>
        <xdr:cNvPr id="2" name="รูปภาพ 9">
          <a:extLst>
            <a:ext uri="{FF2B5EF4-FFF2-40B4-BE49-F238E27FC236}">
              <a16:creationId xmlns:a16="http://schemas.microsoft.com/office/drawing/2014/main" id="{F23708EE-B2F5-4666-9A51-CC1DF5083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334"/>
        <a:stretch>
          <a:fillRect/>
        </a:stretch>
      </xdr:blipFill>
      <xdr:spPr>
        <a:xfrm>
          <a:off x="0" y="17738"/>
          <a:ext cx="10058727" cy="21303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070390" cy="2143125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72E76730-31B6-4E58-9179-22A2167A6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900"/>
        <a:stretch/>
      </xdr:blipFill>
      <xdr:spPr>
        <a:xfrm>
          <a:off x="0" y="0"/>
          <a:ext cx="12070390" cy="21431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6612974</xdr:colOff>
      <xdr:row>0</xdr:row>
      <xdr:rowOff>2119312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F30972ED-E844-4249-9F7F-C550C07FEB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900"/>
        <a:stretch/>
      </xdr:blipFill>
      <xdr:spPr>
        <a:xfrm>
          <a:off x="0" y="0"/>
          <a:ext cx="11851724" cy="21193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0</xdr:row>
      <xdr:rowOff>9526</xdr:rowOff>
    </xdr:from>
    <xdr:to>
      <xdr:col>2</xdr:col>
      <xdr:colOff>4976812</xdr:colOff>
      <xdr:row>0</xdr:row>
      <xdr:rowOff>2253836</xdr:rowOff>
    </xdr:to>
    <xdr:pic>
      <xdr:nvPicPr>
        <xdr:cNvPr id="2" name="รูปภาพ 9">
          <a:extLst>
            <a:ext uri="{FF2B5EF4-FFF2-40B4-BE49-F238E27FC236}">
              <a16:creationId xmlns:a16="http://schemas.microsoft.com/office/drawing/2014/main" id="{5DA50F3A-0EE4-4965-862A-15CDC51AA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3" y="9526"/>
          <a:ext cx="9739312" cy="224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87A7-86C2-4E07-A819-D32FB1E26902}">
  <sheetPr>
    <pageSetUpPr fitToPage="1"/>
  </sheetPr>
  <dimension ref="A1:Q19"/>
  <sheetViews>
    <sheetView zoomScale="40" zoomScaleNormal="40" zoomScaleSheetLayoutView="30" workbookViewId="0">
      <selection activeCell="L11" sqref="L11"/>
    </sheetView>
  </sheetViews>
  <sheetFormatPr defaultColWidth="9.125" defaultRowHeight="51.75" x14ac:dyDescent="0.2"/>
  <cols>
    <col min="1" max="1" width="26.375" style="1" bestFit="1" customWidth="1"/>
    <col min="2" max="2" width="48.625" style="2" hidden="1" customWidth="1"/>
    <col min="3" max="3" width="119.875" style="2" customWidth="1"/>
    <col min="4" max="4" width="17.625" style="1" customWidth="1"/>
    <col min="5" max="5" width="18.125" style="1" customWidth="1"/>
    <col min="6" max="6" width="14.375" style="1" customWidth="1"/>
    <col min="7" max="7" width="25.625" style="1" customWidth="1"/>
    <col min="8" max="8" width="20.625" style="1" customWidth="1"/>
    <col min="9" max="9" width="17.875" style="1" customWidth="1"/>
    <col min="10" max="10" width="20.25" style="1" customWidth="1"/>
    <col min="11" max="11" width="38.875" style="1" customWidth="1"/>
    <col min="12" max="12" width="18.375" style="1" customWidth="1"/>
    <col min="13" max="13" width="20.625" style="1" customWidth="1"/>
    <col min="14" max="14" width="22" style="1" hidden="1" customWidth="1"/>
    <col min="15" max="15" width="22" style="1" customWidth="1"/>
    <col min="16" max="16" width="22" style="1" hidden="1" customWidth="1"/>
    <col min="17" max="17" width="34.625" style="1" customWidth="1"/>
    <col min="18" max="16384" width="9.125" style="3"/>
  </cols>
  <sheetData>
    <row r="1" spans="1:17" ht="170.1" customHeight="1" x14ac:dyDescent="0.2"/>
    <row r="2" spans="1:17" ht="60" customHeight="1" x14ac:dyDescent="0.2">
      <c r="A2" s="29" t="s">
        <v>143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  <c r="P2" s="32" t="s">
        <v>17</v>
      </c>
      <c r="Q2" s="32"/>
    </row>
    <row r="3" spans="1:17" s="1" customFormat="1" ht="54.95" customHeight="1" x14ac:dyDescent="0.2">
      <c r="A3" s="4" t="s">
        <v>0</v>
      </c>
      <c r="B3" s="4" t="s">
        <v>1</v>
      </c>
      <c r="C3" s="4" t="s">
        <v>2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3</v>
      </c>
      <c r="O3" s="4" t="s">
        <v>4</v>
      </c>
      <c r="P3" s="4" t="s">
        <v>5</v>
      </c>
      <c r="Q3" s="4" t="s">
        <v>13</v>
      </c>
    </row>
    <row r="4" spans="1:17" s="6" customFormat="1" ht="50.1" customHeight="1" x14ac:dyDescent="1.05">
      <c r="A4" s="20">
        <v>260600519</v>
      </c>
      <c r="B4" s="21" t="s">
        <v>55</v>
      </c>
      <c r="C4" s="21" t="s">
        <v>56</v>
      </c>
      <c r="D4" s="20">
        <v>60</v>
      </c>
      <c r="E4" s="20">
        <v>21</v>
      </c>
      <c r="F4" s="20">
        <v>39</v>
      </c>
      <c r="G4" s="20"/>
      <c r="H4" s="20"/>
      <c r="I4" s="20"/>
      <c r="J4" s="20">
        <f>F4-L4-M4</f>
        <v>39</v>
      </c>
      <c r="K4" s="20"/>
      <c r="L4" s="20"/>
      <c r="M4" s="20"/>
      <c r="N4" s="20" t="s">
        <v>61</v>
      </c>
      <c r="O4" s="20" t="s">
        <v>63</v>
      </c>
      <c r="P4" s="20" t="s">
        <v>64</v>
      </c>
      <c r="Q4" s="5" t="s">
        <v>49</v>
      </c>
    </row>
    <row r="5" spans="1:17" s="6" customFormat="1" ht="50.1" customHeight="1" x14ac:dyDescent="1.05">
      <c r="A5" s="20">
        <v>260600707</v>
      </c>
      <c r="B5" s="21" t="s">
        <v>42</v>
      </c>
      <c r="C5" s="21" t="s">
        <v>43</v>
      </c>
      <c r="D5" s="20">
        <v>50</v>
      </c>
      <c r="E5" s="20">
        <v>0</v>
      </c>
      <c r="F5" s="20">
        <v>50</v>
      </c>
      <c r="G5" s="20"/>
      <c r="H5" s="20"/>
      <c r="I5" s="20"/>
      <c r="J5" s="20">
        <f t="shared" ref="J5:J17" si="0">F5-L5-M5</f>
        <v>50</v>
      </c>
      <c r="K5" s="20"/>
      <c r="L5" s="20"/>
      <c r="M5" s="20"/>
      <c r="N5" s="20" t="s">
        <v>71</v>
      </c>
      <c r="O5" s="20" t="s">
        <v>72</v>
      </c>
      <c r="P5" s="20" t="s">
        <v>68</v>
      </c>
      <c r="Q5" s="5" t="s">
        <v>49</v>
      </c>
    </row>
    <row r="6" spans="1:17" s="6" customFormat="1" ht="50.1" customHeight="1" x14ac:dyDescent="1.05">
      <c r="A6" s="20">
        <v>260601094</v>
      </c>
      <c r="B6" s="21" t="s">
        <v>50</v>
      </c>
      <c r="C6" s="21" t="s">
        <v>51</v>
      </c>
      <c r="D6" s="20">
        <v>10</v>
      </c>
      <c r="E6" s="20">
        <v>0</v>
      </c>
      <c r="F6" s="20">
        <v>10</v>
      </c>
      <c r="G6" s="20"/>
      <c r="H6" s="20">
        <v>10</v>
      </c>
      <c r="I6" s="20"/>
      <c r="J6" s="20">
        <f t="shared" si="0"/>
        <v>0</v>
      </c>
      <c r="K6" s="20"/>
      <c r="L6" s="20">
        <v>10</v>
      </c>
      <c r="M6" s="20"/>
      <c r="N6" s="20" t="s">
        <v>54</v>
      </c>
      <c r="O6" s="20" t="s">
        <v>62</v>
      </c>
      <c r="P6" s="20" t="s">
        <v>73</v>
      </c>
      <c r="Q6" s="5" t="s">
        <v>21</v>
      </c>
    </row>
    <row r="7" spans="1:17" s="6" customFormat="1" ht="50.1" customHeight="1" x14ac:dyDescent="1.05">
      <c r="A7" s="20">
        <v>260601096</v>
      </c>
      <c r="B7" s="21" t="s">
        <v>42</v>
      </c>
      <c r="C7" s="21" t="s">
        <v>43</v>
      </c>
      <c r="D7" s="20">
        <v>50</v>
      </c>
      <c r="E7" s="20">
        <v>0</v>
      </c>
      <c r="F7" s="20">
        <v>50</v>
      </c>
      <c r="G7" s="20"/>
      <c r="H7" s="20"/>
      <c r="I7" s="20"/>
      <c r="J7" s="20">
        <f t="shared" si="0"/>
        <v>50</v>
      </c>
      <c r="K7" s="20"/>
      <c r="L7" s="20"/>
      <c r="M7" s="20"/>
      <c r="N7" s="20" t="s">
        <v>54</v>
      </c>
      <c r="O7" s="20" t="s">
        <v>62</v>
      </c>
      <c r="P7" s="20" t="s">
        <v>73</v>
      </c>
      <c r="Q7" s="5" t="s">
        <v>21</v>
      </c>
    </row>
    <row r="8" spans="1:17" s="6" customFormat="1" ht="49.5" customHeight="1" x14ac:dyDescent="1.05">
      <c r="A8" s="20">
        <v>260601098</v>
      </c>
      <c r="B8" s="21" t="s">
        <v>55</v>
      </c>
      <c r="C8" s="21" t="s">
        <v>56</v>
      </c>
      <c r="D8" s="20">
        <v>50</v>
      </c>
      <c r="E8" s="20">
        <v>0</v>
      </c>
      <c r="F8" s="20">
        <v>50</v>
      </c>
      <c r="G8" s="20"/>
      <c r="H8" s="20"/>
      <c r="I8" s="20"/>
      <c r="J8" s="20">
        <f t="shared" si="0"/>
        <v>50</v>
      </c>
      <c r="K8" s="20"/>
      <c r="L8" s="20"/>
      <c r="M8" s="20"/>
      <c r="N8" s="20" t="s">
        <v>54</v>
      </c>
      <c r="O8" s="20" t="s">
        <v>62</v>
      </c>
      <c r="P8" s="20" t="s">
        <v>73</v>
      </c>
      <c r="Q8" s="5" t="s">
        <v>21</v>
      </c>
    </row>
    <row r="9" spans="1:17" s="6" customFormat="1" ht="49.5" customHeight="1" x14ac:dyDescent="1.05">
      <c r="A9" s="20">
        <v>260601436</v>
      </c>
      <c r="B9" s="21" t="s">
        <v>46</v>
      </c>
      <c r="C9" s="21" t="s">
        <v>47</v>
      </c>
      <c r="D9" s="20">
        <v>50</v>
      </c>
      <c r="E9" s="20">
        <v>3</v>
      </c>
      <c r="F9" s="20">
        <v>47</v>
      </c>
      <c r="G9" s="20"/>
      <c r="H9" s="20"/>
      <c r="I9" s="20">
        <v>47</v>
      </c>
      <c r="J9" s="20">
        <f t="shared" si="0"/>
        <v>0</v>
      </c>
      <c r="K9" s="20"/>
      <c r="L9" s="20">
        <v>47</v>
      </c>
      <c r="M9" s="20"/>
      <c r="N9" s="20" t="s">
        <v>62</v>
      </c>
      <c r="O9" s="20" t="s">
        <v>82</v>
      </c>
      <c r="P9" s="20" t="s">
        <v>83</v>
      </c>
      <c r="Q9" s="5" t="s">
        <v>49</v>
      </c>
    </row>
    <row r="10" spans="1:17" s="6" customFormat="1" ht="49.5" customHeight="1" x14ac:dyDescent="1.05">
      <c r="A10" s="20">
        <v>260601442</v>
      </c>
      <c r="B10" s="21" t="s">
        <v>44</v>
      </c>
      <c r="C10" s="21" t="s">
        <v>45</v>
      </c>
      <c r="D10" s="20">
        <v>60</v>
      </c>
      <c r="E10" s="20">
        <v>59</v>
      </c>
      <c r="F10" s="20">
        <v>1</v>
      </c>
      <c r="G10" s="20"/>
      <c r="H10" s="20"/>
      <c r="I10" s="20"/>
      <c r="J10" s="20">
        <f t="shared" si="0"/>
        <v>1</v>
      </c>
      <c r="K10" s="20"/>
      <c r="L10" s="20"/>
      <c r="M10" s="20"/>
      <c r="N10" s="20" t="s">
        <v>62</v>
      </c>
      <c r="O10" s="20" t="s">
        <v>82</v>
      </c>
      <c r="P10" s="20" t="s">
        <v>83</v>
      </c>
      <c r="Q10" s="5" t="s">
        <v>49</v>
      </c>
    </row>
    <row r="11" spans="1:17" s="28" customFormat="1" x14ac:dyDescent="1.05">
      <c r="A11" s="25">
        <v>260601445</v>
      </c>
      <c r="B11" s="26" t="s">
        <v>52</v>
      </c>
      <c r="C11" s="26" t="s">
        <v>53</v>
      </c>
      <c r="D11" s="25">
        <v>200</v>
      </c>
      <c r="E11" s="25">
        <v>61</v>
      </c>
      <c r="F11" s="25">
        <v>139</v>
      </c>
      <c r="G11" s="25"/>
      <c r="H11" s="25"/>
      <c r="I11" s="25">
        <v>70</v>
      </c>
      <c r="J11" s="20">
        <f t="shared" si="0"/>
        <v>69</v>
      </c>
      <c r="K11" s="25"/>
      <c r="L11" s="25">
        <v>70</v>
      </c>
      <c r="M11" s="25"/>
      <c r="N11" s="25" t="s">
        <v>62</v>
      </c>
      <c r="O11" s="25" t="s">
        <v>82</v>
      </c>
      <c r="P11" s="25" t="s">
        <v>83</v>
      </c>
      <c r="Q11" s="27" t="s">
        <v>49</v>
      </c>
    </row>
    <row r="12" spans="1:17" s="6" customFormat="1" ht="49.5" customHeight="1" x14ac:dyDescent="1.05">
      <c r="A12" s="20">
        <v>260601449</v>
      </c>
      <c r="B12" s="21" t="s">
        <v>42</v>
      </c>
      <c r="C12" s="21" t="s">
        <v>43</v>
      </c>
      <c r="D12" s="20">
        <v>50</v>
      </c>
      <c r="E12" s="20">
        <v>0</v>
      </c>
      <c r="F12" s="20">
        <v>50</v>
      </c>
      <c r="G12" s="20"/>
      <c r="H12" s="20"/>
      <c r="I12" s="20"/>
      <c r="J12" s="20">
        <f t="shared" si="0"/>
        <v>50</v>
      </c>
      <c r="K12" s="20"/>
      <c r="L12" s="20"/>
      <c r="M12" s="20"/>
      <c r="N12" s="20" t="s">
        <v>62</v>
      </c>
      <c r="O12" s="20" t="s">
        <v>82</v>
      </c>
      <c r="P12" s="20" t="s">
        <v>83</v>
      </c>
      <c r="Q12" s="5" t="s">
        <v>49</v>
      </c>
    </row>
    <row r="13" spans="1:17" s="6" customFormat="1" ht="49.5" customHeight="1" x14ac:dyDescent="1.05">
      <c r="A13" s="20">
        <v>260601451</v>
      </c>
      <c r="B13" s="21" t="s">
        <v>40</v>
      </c>
      <c r="C13" s="21" t="s">
        <v>41</v>
      </c>
      <c r="D13" s="20">
        <v>50</v>
      </c>
      <c r="E13" s="20">
        <v>0</v>
      </c>
      <c r="F13" s="20">
        <v>50</v>
      </c>
      <c r="G13" s="20"/>
      <c r="H13" s="20"/>
      <c r="I13" s="20"/>
      <c r="J13" s="20">
        <f t="shared" si="0"/>
        <v>50</v>
      </c>
      <c r="K13" s="20"/>
      <c r="L13" s="20"/>
      <c r="M13" s="20"/>
      <c r="N13" s="20" t="s">
        <v>62</v>
      </c>
      <c r="O13" s="20" t="s">
        <v>82</v>
      </c>
      <c r="P13" s="20" t="s">
        <v>83</v>
      </c>
      <c r="Q13" s="5" t="s">
        <v>49</v>
      </c>
    </row>
    <row r="14" spans="1:17" s="6" customFormat="1" ht="49.5" customHeight="1" x14ac:dyDescent="1.05">
      <c r="A14" s="20">
        <v>260602127</v>
      </c>
      <c r="B14" s="21" t="s">
        <v>44</v>
      </c>
      <c r="C14" s="21" t="s">
        <v>45</v>
      </c>
      <c r="D14" s="20">
        <v>40</v>
      </c>
      <c r="E14" s="20">
        <v>0</v>
      </c>
      <c r="F14" s="20">
        <v>40</v>
      </c>
      <c r="G14" s="20"/>
      <c r="H14" s="20"/>
      <c r="I14" s="20"/>
      <c r="J14" s="20">
        <f t="shared" si="0"/>
        <v>40</v>
      </c>
      <c r="K14" s="20"/>
      <c r="L14" s="20"/>
      <c r="M14" s="20"/>
      <c r="N14" s="20" t="s">
        <v>99</v>
      </c>
      <c r="O14" s="20" t="s">
        <v>107</v>
      </c>
      <c r="P14" s="20" t="s">
        <v>108</v>
      </c>
      <c r="Q14" s="5" t="s">
        <v>21</v>
      </c>
    </row>
    <row r="15" spans="1:17" s="6" customFormat="1" ht="49.5" customHeight="1" x14ac:dyDescent="1.05">
      <c r="A15" s="20">
        <v>260602128</v>
      </c>
      <c r="B15" s="21" t="s">
        <v>50</v>
      </c>
      <c r="C15" s="21" t="s">
        <v>51</v>
      </c>
      <c r="D15" s="20">
        <v>20</v>
      </c>
      <c r="E15" s="20">
        <v>0</v>
      </c>
      <c r="F15" s="20">
        <v>20</v>
      </c>
      <c r="G15" s="20"/>
      <c r="H15" s="20"/>
      <c r="I15" s="20"/>
      <c r="J15" s="20">
        <f t="shared" si="0"/>
        <v>20</v>
      </c>
      <c r="K15" s="20"/>
      <c r="L15" s="20"/>
      <c r="M15" s="20"/>
      <c r="N15" s="20" t="s">
        <v>99</v>
      </c>
      <c r="O15" s="20" t="s">
        <v>107</v>
      </c>
      <c r="P15" s="20" t="s">
        <v>108</v>
      </c>
      <c r="Q15" s="5" t="s">
        <v>21</v>
      </c>
    </row>
    <row r="16" spans="1:17" s="6" customFormat="1" ht="49.5" customHeight="1" x14ac:dyDescent="1.05">
      <c r="A16" s="20">
        <v>260602129</v>
      </c>
      <c r="B16" s="21" t="s">
        <v>109</v>
      </c>
      <c r="C16" s="21" t="s">
        <v>110</v>
      </c>
      <c r="D16" s="20">
        <v>10</v>
      </c>
      <c r="E16" s="20">
        <v>0</v>
      </c>
      <c r="F16" s="20">
        <v>10</v>
      </c>
      <c r="G16" s="20"/>
      <c r="H16" s="20"/>
      <c r="I16" s="20"/>
      <c r="J16" s="20">
        <f t="shared" si="0"/>
        <v>10</v>
      </c>
      <c r="K16" s="20"/>
      <c r="L16" s="20"/>
      <c r="M16" s="20"/>
      <c r="N16" s="20" t="s">
        <v>99</v>
      </c>
      <c r="O16" s="20" t="s">
        <v>107</v>
      </c>
      <c r="P16" s="20" t="s">
        <v>108</v>
      </c>
      <c r="Q16" s="5" t="s">
        <v>21</v>
      </c>
    </row>
    <row r="17" spans="1:17" s="6" customFormat="1" ht="49.5" customHeight="1" x14ac:dyDescent="1.05">
      <c r="A17" s="20">
        <v>260602130</v>
      </c>
      <c r="B17" s="21" t="s">
        <v>111</v>
      </c>
      <c r="C17" s="21" t="s">
        <v>112</v>
      </c>
      <c r="D17" s="20">
        <v>50</v>
      </c>
      <c r="E17" s="20">
        <v>0</v>
      </c>
      <c r="F17" s="20">
        <v>50</v>
      </c>
      <c r="G17" s="20"/>
      <c r="H17" s="20"/>
      <c r="I17" s="20"/>
      <c r="J17" s="20">
        <f t="shared" si="0"/>
        <v>50</v>
      </c>
      <c r="K17" s="20"/>
      <c r="L17" s="20"/>
      <c r="M17" s="20"/>
      <c r="N17" s="20" t="s">
        <v>99</v>
      </c>
      <c r="O17" s="20" t="s">
        <v>107</v>
      </c>
      <c r="P17" s="20" t="s">
        <v>108</v>
      </c>
      <c r="Q17" s="5" t="s">
        <v>21</v>
      </c>
    </row>
    <row r="18" spans="1:17" s="1" customFormat="1" ht="69.95" customHeight="1" x14ac:dyDescent="0.2">
      <c r="B18" s="2"/>
      <c r="C18" s="2"/>
      <c r="G18" s="7">
        <f>SUM(G4:G17)</f>
        <v>0</v>
      </c>
      <c r="H18" s="7">
        <f>SUM(H4:H17)</f>
        <v>10</v>
      </c>
      <c r="I18" s="7">
        <f>SUM(I4:I17)</f>
        <v>117</v>
      </c>
      <c r="J18" s="7">
        <f>SUM(J4:J17)</f>
        <v>479</v>
      </c>
      <c r="L18" s="4">
        <f>SUM(L4:L17)</f>
        <v>127</v>
      </c>
      <c r="M18" s="4">
        <f>SUM(M4:M17)</f>
        <v>0</v>
      </c>
    </row>
    <row r="19" spans="1:17" x14ac:dyDescent="0.2">
      <c r="N19" s="33" t="s">
        <v>16</v>
      </c>
      <c r="O19" s="33"/>
      <c r="P19" s="33"/>
      <c r="Q19" s="33"/>
    </row>
  </sheetData>
  <autoFilter ref="A3:Q19" xr:uid="{095AFB05-EB1A-4F0D-9C5A-091107094F1E}"/>
  <mergeCells count="3">
    <mergeCell ref="A2:O2"/>
    <mergeCell ref="P2:Q2"/>
    <mergeCell ref="N19:Q19"/>
  </mergeCells>
  <phoneticPr fontId="1" type="noConversion"/>
  <pageMargins left="0.23622047244094491" right="0.23622047244094491" top="0.15748031496062992" bottom="0.16" header="0.15748031496062992" footer="0.15748031496062992"/>
  <pageSetup paperSize="9" scale="32" fitToHeight="0" orientation="landscape" r:id="rId1"/>
  <headerFooter>
    <oddFooter>&amp;C&amp;28หน้า 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E4D1-8836-4A9A-AD8E-974CF3F51117}">
  <sheetPr codeName="Sheet2">
    <pageSetUpPr fitToPage="1"/>
  </sheetPr>
  <dimension ref="A1:Q17"/>
  <sheetViews>
    <sheetView tabSelected="1" zoomScale="40" zoomScaleNormal="40" zoomScaleSheetLayoutView="40" workbookViewId="0">
      <selection activeCell="G10" sqref="G10"/>
    </sheetView>
  </sheetViews>
  <sheetFormatPr defaultColWidth="9.125" defaultRowHeight="51.75" x14ac:dyDescent="0.2"/>
  <cols>
    <col min="1" max="1" width="26.375" style="1" bestFit="1" customWidth="1"/>
    <col min="2" max="2" width="48.875" style="2" customWidth="1"/>
    <col min="3" max="3" width="94.25" style="3" bestFit="1" customWidth="1"/>
    <col min="4" max="6" width="18.25" style="1" customWidth="1"/>
    <col min="7" max="9" width="24.625" style="1" customWidth="1"/>
    <col min="10" max="10" width="20.375" style="1" customWidth="1"/>
    <col min="11" max="11" width="25.875" style="1" customWidth="1"/>
    <col min="12" max="13" width="18.875" style="1" customWidth="1"/>
    <col min="14" max="16" width="21.625" style="1" customWidth="1"/>
    <col min="17" max="17" width="31.375" style="1" bestFit="1" customWidth="1"/>
    <col min="18" max="16384" width="9.125" style="3"/>
  </cols>
  <sheetData>
    <row r="1" spans="1:17" ht="170.1" customHeight="1" x14ac:dyDescent="0.2"/>
    <row r="2" spans="1:17" ht="60" customHeight="1" x14ac:dyDescent="0.2">
      <c r="A2" s="29" t="s">
        <v>143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  <c r="P2" s="34" t="s">
        <v>18</v>
      </c>
      <c r="Q2" s="34"/>
    </row>
    <row r="3" spans="1:17" s="1" customFormat="1" ht="54.95" customHeight="1" x14ac:dyDescent="0.2">
      <c r="A3" s="4" t="s">
        <v>0</v>
      </c>
      <c r="B3" s="4" t="s">
        <v>1</v>
      </c>
      <c r="C3" s="4" t="s">
        <v>2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3</v>
      </c>
      <c r="O3" s="4" t="s">
        <v>4</v>
      </c>
      <c r="P3" s="4" t="s">
        <v>5</v>
      </c>
      <c r="Q3" s="4" t="s">
        <v>13</v>
      </c>
    </row>
    <row r="4" spans="1:17" s="1" customFormat="1" ht="50.1" customHeight="1" x14ac:dyDescent="1.05">
      <c r="A4" s="20">
        <v>260600710</v>
      </c>
      <c r="B4" s="22" t="s">
        <v>28</v>
      </c>
      <c r="C4" s="22" t="s">
        <v>29</v>
      </c>
      <c r="D4" s="20">
        <v>180</v>
      </c>
      <c r="E4" s="20">
        <v>170</v>
      </c>
      <c r="F4" s="20">
        <v>10</v>
      </c>
      <c r="G4" s="20"/>
      <c r="H4" s="20"/>
      <c r="I4" s="20">
        <v>10</v>
      </c>
      <c r="J4" s="20">
        <f>F4-L4-M4</f>
        <v>0</v>
      </c>
      <c r="K4" s="20"/>
      <c r="L4" s="20">
        <v>10</v>
      </c>
      <c r="M4" s="20"/>
      <c r="N4" s="20" t="s">
        <v>71</v>
      </c>
      <c r="O4" s="20" t="s">
        <v>72</v>
      </c>
      <c r="P4" s="20" t="s">
        <v>68</v>
      </c>
      <c r="Q4" s="5" t="s">
        <v>49</v>
      </c>
    </row>
    <row r="5" spans="1:17" s="1" customFormat="1" ht="50.1" customHeight="1" x14ac:dyDescent="1.05">
      <c r="A5" s="20">
        <v>260601452</v>
      </c>
      <c r="B5" s="22" t="s">
        <v>28</v>
      </c>
      <c r="C5" s="22" t="s">
        <v>29</v>
      </c>
      <c r="D5" s="20">
        <v>100</v>
      </c>
      <c r="E5" s="20">
        <v>0</v>
      </c>
      <c r="F5" s="20">
        <v>100</v>
      </c>
      <c r="G5" s="20"/>
      <c r="H5" s="20"/>
      <c r="I5" s="20"/>
      <c r="J5" s="20">
        <f t="shared" ref="J5:J6" si="0">F5-L5-M5</f>
        <v>100</v>
      </c>
      <c r="K5" s="20"/>
      <c r="L5" s="20"/>
      <c r="M5" s="20"/>
      <c r="N5" s="20" t="s">
        <v>62</v>
      </c>
      <c r="O5" s="20" t="s">
        <v>82</v>
      </c>
      <c r="P5" s="20" t="s">
        <v>83</v>
      </c>
      <c r="Q5" s="5" t="s">
        <v>49</v>
      </c>
    </row>
    <row r="6" spans="1:17" s="1" customFormat="1" ht="50.1" customHeight="1" x14ac:dyDescent="1.05">
      <c r="A6" s="20">
        <v>260601453</v>
      </c>
      <c r="B6" s="22" t="s">
        <v>26</v>
      </c>
      <c r="C6" s="22" t="s">
        <v>27</v>
      </c>
      <c r="D6" s="20">
        <v>40</v>
      </c>
      <c r="E6" s="20">
        <v>0</v>
      </c>
      <c r="F6" s="20">
        <v>40</v>
      </c>
      <c r="G6" s="20"/>
      <c r="H6" s="20"/>
      <c r="I6" s="20">
        <v>40</v>
      </c>
      <c r="J6" s="20">
        <f t="shared" si="0"/>
        <v>0</v>
      </c>
      <c r="K6" s="20"/>
      <c r="L6" s="20">
        <v>40</v>
      </c>
      <c r="M6" s="20"/>
      <c r="N6" s="20" t="s">
        <v>62</v>
      </c>
      <c r="O6" s="20" t="s">
        <v>82</v>
      </c>
      <c r="P6" s="20" t="s">
        <v>83</v>
      </c>
      <c r="Q6" s="5" t="s">
        <v>49</v>
      </c>
    </row>
    <row r="7" spans="1:17" ht="69.95" customHeight="1" x14ac:dyDescent="0.2">
      <c r="G7" s="7">
        <f>SUM(G4:G6)</f>
        <v>0</v>
      </c>
      <c r="H7" s="7">
        <f>SUM(H4:H6)</f>
        <v>0</v>
      </c>
      <c r="I7" s="7">
        <f>SUM(I4:I6)</f>
        <v>50</v>
      </c>
      <c r="J7" s="7">
        <f>SUM(J4:J6)</f>
        <v>100</v>
      </c>
      <c r="L7" s="4">
        <f>SUM(L4:L6)</f>
        <v>50</v>
      </c>
      <c r="M7" s="4">
        <f>SUM(M4:M6)</f>
        <v>0</v>
      </c>
      <c r="Q7" s="3"/>
    </row>
    <row r="8" spans="1:17" ht="50.1" customHeight="1" x14ac:dyDescent="1.05">
      <c r="N8" s="35" t="s">
        <v>16</v>
      </c>
      <c r="O8" s="35"/>
      <c r="P8" s="35"/>
      <c r="Q8" s="35"/>
    </row>
    <row r="9" spans="1:17" ht="50.1" customHeight="1" x14ac:dyDescent="0.2"/>
    <row r="10" spans="1:17" ht="50.1" customHeight="1" x14ac:dyDescent="0.2"/>
    <row r="11" spans="1:17" ht="50.1" customHeight="1" x14ac:dyDescent="1.05">
      <c r="K11" s="10"/>
    </row>
    <row r="12" spans="1:17" ht="50.1" customHeight="1" x14ac:dyDescent="1.05">
      <c r="A12" s="10"/>
      <c r="B12" s="11"/>
      <c r="C12" s="12"/>
      <c r="D12" s="10"/>
      <c r="E12" s="10"/>
      <c r="F12" s="10"/>
      <c r="G12" s="10"/>
      <c r="H12" s="10"/>
      <c r="I12" s="10"/>
      <c r="J12" s="10"/>
      <c r="L12" s="10"/>
      <c r="M12" s="10"/>
      <c r="N12" s="10"/>
      <c r="O12" s="10"/>
      <c r="P12" s="10"/>
    </row>
    <row r="13" spans="1:17" ht="50.1" customHeight="1" x14ac:dyDescent="0.2"/>
    <row r="14" spans="1:17" ht="50.1" customHeight="1" x14ac:dyDescent="0.2"/>
    <row r="15" spans="1:17" ht="50.1" customHeight="1" x14ac:dyDescent="0.2"/>
    <row r="16" spans="1:17" ht="50.1" customHeight="1" x14ac:dyDescent="0.2"/>
    <row r="17" ht="50.1" customHeight="1" x14ac:dyDescent="0.2"/>
  </sheetData>
  <autoFilter ref="A3:Q8" xr:uid="{605EED14-94ED-4E5F-B57D-EFEBF362B4A9}"/>
  <mergeCells count="3">
    <mergeCell ref="A2:O2"/>
    <mergeCell ref="P2:Q2"/>
    <mergeCell ref="N8:Q8"/>
  </mergeCells>
  <phoneticPr fontId="1" type="noConversion"/>
  <pageMargins left="0.31496062992125984" right="0.31496062992125984" top="0.16" bottom="0.15748031496062992" header="0.15748031496062992" footer="0.15748031496062992"/>
  <pageSetup paperSize="9" scale="2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BEB7-FF1E-4096-B297-483471CEEAF3}">
  <sheetPr codeName="Sheet3">
    <pageSetUpPr fitToPage="1"/>
  </sheetPr>
  <dimension ref="A1:R22"/>
  <sheetViews>
    <sheetView zoomScale="30" zoomScaleNormal="30" workbookViewId="0">
      <selection activeCell="D14" sqref="D14"/>
    </sheetView>
  </sheetViews>
  <sheetFormatPr defaultColWidth="9.125" defaultRowHeight="51.75" x14ac:dyDescent="0.2"/>
  <cols>
    <col min="1" max="1" width="27.125" style="6" customWidth="1"/>
    <col min="2" max="2" width="26.375" style="6" customWidth="1"/>
    <col min="3" max="3" width="50.75" style="14" customWidth="1"/>
    <col min="4" max="4" width="114.5" style="15" customWidth="1"/>
    <col min="5" max="7" width="16.625" style="6" customWidth="1"/>
    <col min="8" max="8" width="20.75" style="6" customWidth="1"/>
    <col min="9" max="9" width="20.375" style="6" customWidth="1"/>
    <col min="10" max="10" width="16.75" style="6" customWidth="1"/>
    <col min="11" max="11" width="25.375" style="6" customWidth="1"/>
    <col min="12" max="12" width="33" style="6" customWidth="1"/>
    <col min="13" max="14" width="18" style="6" customWidth="1"/>
    <col min="15" max="15" width="23.25" style="6" customWidth="1"/>
    <col min="16" max="17" width="23.25" style="1" customWidth="1"/>
    <col min="18" max="18" width="53.625" style="1" bestFit="1" customWidth="1"/>
    <col min="19" max="16384" width="9.125" style="3"/>
  </cols>
  <sheetData>
    <row r="1" spans="1:18" ht="170.1" customHeight="1" x14ac:dyDescent="0.2">
      <c r="L1" s="14"/>
      <c r="M1" s="14"/>
      <c r="N1" s="14"/>
    </row>
    <row r="2" spans="1:18" ht="60" customHeight="1" x14ac:dyDescent="1.05">
      <c r="A2" s="29" t="s">
        <v>143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  <c r="Q2" s="36" t="s">
        <v>20</v>
      </c>
      <c r="R2" s="36"/>
    </row>
    <row r="3" spans="1:18" s="1" customFormat="1" ht="54.95" customHeight="1" x14ac:dyDescent="1.05">
      <c r="A3" s="8" t="s">
        <v>21</v>
      </c>
      <c r="B3" s="8" t="s">
        <v>0</v>
      </c>
      <c r="C3" s="8" t="s">
        <v>1</v>
      </c>
      <c r="D3" s="8" t="s">
        <v>2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3</v>
      </c>
      <c r="P3" s="8" t="s">
        <v>4</v>
      </c>
      <c r="Q3" s="8" t="s">
        <v>5</v>
      </c>
      <c r="R3" s="16" t="s">
        <v>13</v>
      </c>
    </row>
    <row r="4" spans="1:18" s="1" customFormat="1" ht="50.1" customHeight="1" x14ac:dyDescent="1.05">
      <c r="A4" s="20">
        <v>260600299</v>
      </c>
      <c r="B4" s="20"/>
      <c r="C4" s="22" t="s">
        <v>66</v>
      </c>
      <c r="D4" s="22" t="s">
        <v>67</v>
      </c>
      <c r="E4" s="20">
        <v>1</v>
      </c>
      <c r="F4" s="13">
        <v>0</v>
      </c>
      <c r="G4" s="20">
        <v>1</v>
      </c>
      <c r="H4" s="20"/>
      <c r="I4" s="20"/>
      <c r="J4" s="20"/>
      <c r="K4" s="13">
        <f t="shared" ref="K4:K7" si="0">G4-M4-N4</f>
        <v>1</v>
      </c>
      <c r="L4" s="20"/>
      <c r="M4" s="20"/>
      <c r="N4" s="20"/>
      <c r="O4" s="17" t="s">
        <v>63</v>
      </c>
      <c r="P4" s="17" t="s">
        <v>63</v>
      </c>
      <c r="Q4" s="18" t="s">
        <v>69</v>
      </c>
      <c r="R4" s="13" t="s">
        <v>65</v>
      </c>
    </row>
    <row r="5" spans="1:18" s="1" customFormat="1" ht="50.1" customHeight="1" x14ac:dyDescent="1.05">
      <c r="A5" s="20">
        <v>260600564</v>
      </c>
      <c r="B5" s="20"/>
      <c r="C5" s="22" t="s">
        <v>76</v>
      </c>
      <c r="D5" s="22" t="s">
        <v>77</v>
      </c>
      <c r="E5" s="20">
        <v>1</v>
      </c>
      <c r="F5" s="13">
        <v>0</v>
      </c>
      <c r="G5" s="20">
        <v>1</v>
      </c>
      <c r="H5" s="20"/>
      <c r="I5" s="20"/>
      <c r="J5" s="20"/>
      <c r="K5" s="13">
        <f t="shared" si="0"/>
        <v>1</v>
      </c>
      <c r="L5" s="20"/>
      <c r="M5" s="20"/>
      <c r="N5" s="20"/>
      <c r="O5" s="17" t="s">
        <v>79</v>
      </c>
      <c r="P5" s="17" t="s">
        <v>79</v>
      </c>
      <c r="Q5" s="18" t="s">
        <v>69</v>
      </c>
      <c r="R5" s="13" t="s">
        <v>78</v>
      </c>
    </row>
    <row r="6" spans="1:18" s="1" customFormat="1" ht="47.25" customHeight="1" x14ac:dyDescent="1.05">
      <c r="A6" s="20">
        <v>260600985</v>
      </c>
      <c r="B6" s="20"/>
      <c r="C6" s="22" t="s">
        <v>86</v>
      </c>
      <c r="D6" s="22" t="s">
        <v>87</v>
      </c>
      <c r="E6" s="20">
        <v>1</v>
      </c>
      <c r="F6" s="13">
        <v>0</v>
      </c>
      <c r="G6" s="20">
        <v>1</v>
      </c>
      <c r="H6" s="20"/>
      <c r="I6" s="20"/>
      <c r="J6" s="20"/>
      <c r="K6" s="13">
        <f t="shared" si="0"/>
        <v>1</v>
      </c>
      <c r="L6" s="20"/>
      <c r="M6" s="20"/>
      <c r="N6" s="20"/>
      <c r="O6" s="18" t="s">
        <v>54</v>
      </c>
      <c r="P6" s="18" t="s">
        <v>54</v>
      </c>
      <c r="Q6" s="18" t="s">
        <v>98</v>
      </c>
      <c r="R6" s="13" t="s">
        <v>101</v>
      </c>
    </row>
    <row r="7" spans="1:18" s="1" customFormat="1" ht="47.25" customHeight="1" x14ac:dyDescent="1.05">
      <c r="A7" s="20">
        <v>260600990</v>
      </c>
      <c r="B7" s="20"/>
      <c r="C7" s="22" t="s">
        <v>88</v>
      </c>
      <c r="D7" s="22" t="s">
        <v>89</v>
      </c>
      <c r="E7" s="20">
        <v>1</v>
      </c>
      <c r="F7" s="13">
        <v>0</v>
      </c>
      <c r="G7" s="20">
        <v>1</v>
      </c>
      <c r="H7" s="20"/>
      <c r="I7" s="20"/>
      <c r="J7" s="20"/>
      <c r="K7" s="13">
        <f t="shared" si="0"/>
        <v>1</v>
      </c>
      <c r="L7" s="20"/>
      <c r="M7" s="20"/>
      <c r="N7" s="20"/>
      <c r="O7" s="18" t="s">
        <v>54</v>
      </c>
      <c r="P7" s="18" t="s">
        <v>54</v>
      </c>
      <c r="Q7" s="18" t="s">
        <v>100</v>
      </c>
      <c r="R7" s="13" t="s">
        <v>102</v>
      </c>
    </row>
    <row r="8" spans="1:18" s="1" customFormat="1" ht="47.25" customHeight="1" x14ac:dyDescent="1.05">
      <c r="A8" s="20">
        <v>260600991</v>
      </c>
      <c r="B8" s="20"/>
      <c r="C8" s="22" t="s">
        <v>90</v>
      </c>
      <c r="D8" s="22" t="s">
        <v>91</v>
      </c>
      <c r="E8" s="20">
        <v>1</v>
      </c>
      <c r="F8" s="13">
        <v>0</v>
      </c>
      <c r="G8" s="20">
        <v>1</v>
      </c>
      <c r="H8" s="20"/>
      <c r="I8" s="20"/>
      <c r="J8" s="20"/>
      <c r="K8" s="13">
        <f t="shared" ref="K8:K20" si="1">G8-M8-N8</f>
        <v>1</v>
      </c>
      <c r="L8" s="20"/>
      <c r="M8" s="20"/>
      <c r="N8" s="20"/>
      <c r="O8" s="18" t="s">
        <v>54</v>
      </c>
      <c r="P8" s="18" t="s">
        <v>54</v>
      </c>
      <c r="Q8" s="18" t="s">
        <v>73</v>
      </c>
      <c r="R8" s="13" t="s">
        <v>103</v>
      </c>
    </row>
    <row r="9" spans="1:18" s="1" customFormat="1" ht="47.25" customHeight="1" x14ac:dyDescent="1.05">
      <c r="A9" s="20">
        <v>260600991</v>
      </c>
      <c r="B9" s="20"/>
      <c r="C9" s="22" t="s">
        <v>92</v>
      </c>
      <c r="D9" s="22" t="s">
        <v>93</v>
      </c>
      <c r="E9" s="20">
        <v>1</v>
      </c>
      <c r="F9" s="13">
        <v>0</v>
      </c>
      <c r="G9" s="20">
        <v>1</v>
      </c>
      <c r="H9" s="20"/>
      <c r="I9" s="20"/>
      <c r="J9" s="20"/>
      <c r="K9" s="13">
        <f t="shared" si="1"/>
        <v>1</v>
      </c>
      <c r="L9" s="20"/>
      <c r="M9" s="20"/>
      <c r="N9" s="20"/>
      <c r="O9" s="18" t="s">
        <v>54</v>
      </c>
      <c r="P9" s="18" t="s">
        <v>54</v>
      </c>
      <c r="Q9" s="18" t="s">
        <v>73</v>
      </c>
      <c r="R9" s="13" t="s">
        <v>103</v>
      </c>
    </row>
    <row r="10" spans="1:18" s="1" customFormat="1" ht="47.25" customHeight="1" x14ac:dyDescent="1.05">
      <c r="A10" s="20">
        <v>260600991</v>
      </c>
      <c r="B10" s="20"/>
      <c r="C10" s="22" t="s">
        <v>94</v>
      </c>
      <c r="D10" s="22" t="s">
        <v>95</v>
      </c>
      <c r="E10" s="20">
        <v>1</v>
      </c>
      <c r="F10" s="13">
        <v>0</v>
      </c>
      <c r="G10" s="20">
        <v>1</v>
      </c>
      <c r="H10" s="20"/>
      <c r="I10" s="20"/>
      <c r="J10" s="20"/>
      <c r="K10" s="13">
        <f t="shared" si="1"/>
        <v>1</v>
      </c>
      <c r="L10" s="20"/>
      <c r="M10" s="20"/>
      <c r="N10" s="20"/>
      <c r="O10" s="18" t="s">
        <v>54</v>
      </c>
      <c r="P10" s="18" t="s">
        <v>54</v>
      </c>
      <c r="Q10" s="18" t="s">
        <v>73</v>
      </c>
      <c r="R10" s="13" t="s">
        <v>103</v>
      </c>
    </row>
    <row r="11" spans="1:18" s="1" customFormat="1" ht="47.25" customHeight="1" x14ac:dyDescent="1.05">
      <c r="A11" s="20">
        <v>260600991</v>
      </c>
      <c r="B11" s="20"/>
      <c r="C11" s="22" t="s">
        <v>96</v>
      </c>
      <c r="D11" s="22" t="s">
        <v>97</v>
      </c>
      <c r="E11" s="20">
        <v>1</v>
      </c>
      <c r="F11" s="13">
        <v>0</v>
      </c>
      <c r="G11" s="20">
        <v>1</v>
      </c>
      <c r="H11" s="20"/>
      <c r="I11" s="20"/>
      <c r="J11" s="20"/>
      <c r="K11" s="13">
        <f t="shared" si="1"/>
        <v>1</v>
      </c>
      <c r="L11" s="20"/>
      <c r="M11" s="20"/>
      <c r="N11" s="20"/>
      <c r="O11" s="18" t="s">
        <v>54</v>
      </c>
      <c r="P11" s="18" t="s">
        <v>54</v>
      </c>
      <c r="Q11" s="18" t="s">
        <v>73</v>
      </c>
      <c r="R11" s="13" t="s">
        <v>103</v>
      </c>
    </row>
    <row r="12" spans="1:18" s="1" customFormat="1" ht="47.25" customHeight="1" x14ac:dyDescent="1.05">
      <c r="A12" s="20">
        <v>260601468</v>
      </c>
      <c r="B12" s="20"/>
      <c r="C12" s="22" t="s">
        <v>129</v>
      </c>
      <c r="D12" s="22" t="s">
        <v>130</v>
      </c>
      <c r="E12" s="20">
        <v>1</v>
      </c>
      <c r="F12" s="13">
        <v>0</v>
      </c>
      <c r="G12" s="20">
        <v>1</v>
      </c>
      <c r="H12" s="20"/>
      <c r="I12" s="20"/>
      <c r="J12" s="20"/>
      <c r="K12" s="13">
        <f t="shared" si="1"/>
        <v>1</v>
      </c>
      <c r="L12" s="20"/>
      <c r="M12" s="20"/>
      <c r="N12" s="20"/>
      <c r="O12" s="18" t="s">
        <v>68</v>
      </c>
      <c r="P12" s="18" t="s">
        <v>68</v>
      </c>
      <c r="Q12" s="18" t="s">
        <v>141</v>
      </c>
      <c r="R12" s="13" t="s">
        <v>122</v>
      </c>
    </row>
    <row r="13" spans="1:18" s="1" customFormat="1" ht="47.25" customHeight="1" x14ac:dyDescent="1.05">
      <c r="A13" s="20">
        <v>260601466</v>
      </c>
      <c r="B13" s="20"/>
      <c r="C13" s="22" t="s">
        <v>131</v>
      </c>
      <c r="D13" s="22" t="s">
        <v>132</v>
      </c>
      <c r="E13" s="20">
        <v>1</v>
      </c>
      <c r="F13" s="13">
        <v>0</v>
      </c>
      <c r="G13" s="20">
        <v>1</v>
      </c>
      <c r="H13" s="20"/>
      <c r="I13" s="20"/>
      <c r="J13" s="20"/>
      <c r="K13" s="13">
        <f t="shared" si="1"/>
        <v>1</v>
      </c>
      <c r="L13" s="20"/>
      <c r="M13" s="20"/>
      <c r="N13" s="20"/>
      <c r="O13" s="18" t="s">
        <v>68</v>
      </c>
      <c r="P13" s="18" t="s">
        <v>68</v>
      </c>
      <c r="Q13" s="18" t="s">
        <v>100</v>
      </c>
      <c r="R13" s="13" t="s">
        <v>123</v>
      </c>
    </row>
    <row r="14" spans="1:18" s="1" customFormat="1" ht="47.25" customHeight="1" x14ac:dyDescent="1.05">
      <c r="A14" s="20">
        <v>260601469</v>
      </c>
      <c r="B14" s="20"/>
      <c r="C14" s="22" t="s">
        <v>133</v>
      </c>
      <c r="D14" s="22" t="s">
        <v>134</v>
      </c>
      <c r="E14" s="20">
        <v>1</v>
      </c>
      <c r="F14" s="13">
        <v>0</v>
      </c>
      <c r="G14" s="20">
        <v>1</v>
      </c>
      <c r="H14" s="20"/>
      <c r="I14" s="20"/>
      <c r="J14" s="20"/>
      <c r="K14" s="13">
        <f t="shared" si="1"/>
        <v>1</v>
      </c>
      <c r="L14" s="20"/>
      <c r="M14" s="20"/>
      <c r="N14" s="20"/>
      <c r="O14" s="18" t="s">
        <v>68</v>
      </c>
      <c r="P14" s="18" t="s">
        <v>68</v>
      </c>
      <c r="Q14" s="18" t="s">
        <v>100</v>
      </c>
      <c r="R14" s="13" t="s">
        <v>124</v>
      </c>
    </row>
    <row r="15" spans="1:18" s="1" customFormat="1" ht="47.25" customHeight="1" x14ac:dyDescent="1.05">
      <c r="A15" s="20">
        <v>260601469</v>
      </c>
      <c r="B15" s="20"/>
      <c r="C15" s="22" t="s">
        <v>135</v>
      </c>
      <c r="D15" s="22" t="s">
        <v>136</v>
      </c>
      <c r="E15" s="20">
        <v>1</v>
      </c>
      <c r="F15" s="13">
        <v>0</v>
      </c>
      <c r="G15" s="20">
        <v>1</v>
      </c>
      <c r="H15" s="20"/>
      <c r="I15" s="20"/>
      <c r="J15" s="20"/>
      <c r="K15" s="13">
        <f t="shared" si="1"/>
        <v>1</v>
      </c>
      <c r="L15" s="20"/>
      <c r="M15" s="20"/>
      <c r="N15" s="20"/>
      <c r="O15" s="18" t="s">
        <v>68</v>
      </c>
      <c r="P15" s="18" t="s">
        <v>68</v>
      </c>
      <c r="Q15" s="18" t="s">
        <v>100</v>
      </c>
      <c r="R15" s="13" t="s">
        <v>124</v>
      </c>
    </row>
    <row r="16" spans="1:18" s="1" customFormat="1" ht="47.25" customHeight="1" x14ac:dyDescent="1.05">
      <c r="A16" s="20">
        <v>260601502</v>
      </c>
      <c r="B16" s="20"/>
      <c r="C16" s="22" t="s">
        <v>23</v>
      </c>
      <c r="D16" s="22" t="s">
        <v>24</v>
      </c>
      <c r="E16" s="20">
        <v>1</v>
      </c>
      <c r="F16" s="13">
        <v>0</v>
      </c>
      <c r="G16" s="20">
        <v>1</v>
      </c>
      <c r="H16" s="20"/>
      <c r="I16" s="20"/>
      <c r="J16" s="20"/>
      <c r="K16" s="13">
        <f t="shared" si="1"/>
        <v>1</v>
      </c>
      <c r="L16" s="20"/>
      <c r="M16" s="20"/>
      <c r="N16" s="20"/>
      <c r="O16" s="18" t="s">
        <v>99</v>
      </c>
      <c r="P16" s="18" t="s">
        <v>99</v>
      </c>
      <c r="Q16" s="18" t="s">
        <v>142</v>
      </c>
      <c r="R16" s="13" t="s">
        <v>125</v>
      </c>
    </row>
    <row r="17" spans="1:18" s="1" customFormat="1" ht="47.25" customHeight="1" x14ac:dyDescent="1.05">
      <c r="A17" s="20">
        <v>260601503</v>
      </c>
      <c r="B17" s="20"/>
      <c r="C17" s="22" t="s">
        <v>23</v>
      </c>
      <c r="D17" s="22" t="s">
        <v>24</v>
      </c>
      <c r="E17" s="20">
        <v>1</v>
      </c>
      <c r="F17" s="13">
        <v>0</v>
      </c>
      <c r="G17" s="20">
        <v>1</v>
      </c>
      <c r="H17" s="20"/>
      <c r="I17" s="20"/>
      <c r="J17" s="20"/>
      <c r="K17" s="13">
        <f t="shared" si="1"/>
        <v>1</v>
      </c>
      <c r="L17" s="20"/>
      <c r="M17" s="20"/>
      <c r="N17" s="20"/>
      <c r="O17" s="18" t="s">
        <v>99</v>
      </c>
      <c r="P17" s="18" t="s">
        <v>99</v>
      </c>
      <c r="Q17" s="18" t="s">
        <v>142</v>
      </c>
      <c r="R17" s="13" t="s">
        <v>125</v>
      </c>
    </row>
    <row r="18" spans="1:18" s="1" customFormat="1" ht="47.25" customHeight="1" x14ac:dyDescent="1.05">
      <c r="A18" s="20">
        <v>260601470</v>
      </c>
      <c r="B18" s="20"/>
      <c r="C18" s="22" t="s">
        <v>137</v>
      </c>
      <c r="D18" s="22" t="s">
        <v>138</v>
      </c>
      <c r="E18" s="20">
        <v>1</v>
      </c>
      <c r="F18" s="13">
        <v>0</v>
      </c>
      <c r="G18" s="20">
        <v>1</v>
      </c>
      <c r="H18" s="20"/>
      <c r="I18" s="20"/>
      <c r="J18" s="20"/>
      <c r="K18" s="13">
        <f t="shared" si="1"/>
        <v>1</v>
      </c>
      <c r="L18" s="20"/>
      <c r="M18" s="20"/>
      <c r="N18" s="20"/>
      <c r="O18" s="18" t="s">
        <v>99</v>
      </c>
      <c r="P18" s="18" t="s">
        <v>99</v>
      </c>
      <c r="Q18" s="18" t="s">
        <v>142</v>
      </c>
      <c r="R18" s="13" t="s">
        <v>126</v>
      </c>
    </row>
    <row r="19" spans="1:18" s="1" customFormat="1" ht="47.25" customHeight="1" x14ac:dyDescent="1.05">
      <c r="A19" s="20">
        <v>260601585</v>
      </c>
      <c r="B19" s="20"/>
      <c r="C19" s="22" t="s">
        <v>23</v>
      </c>
      <c r="D19" s="22" t="s">
        <v>24</v>
      </c>
      <c r="E19" s="20">
        <v>1</v>
      </c>
      <c r="F19" s="13">
        <v>0</v>
      </c>
      <c r="G19" s="20">
        <v>1</v>
      </c>
      <c r="H19" s="20"/>
      <c r="I19" s="20"/>
      <c r="J19" s="20"/>
      <c r="K19" s="13">
        <f t="shared" si="1"/>
        <v>1</v>
      </c>
      <c r="L19" s="20"/>
      <c r="M19" s="20"/>
      <c r="N19" s="20"/>
      <c r="O19" s="18" t="s">
        <v>99</v>
      </c>
      <c r="P19" s="18" t="s">
        <v>99</v>
      </c>
      <c r="Q19" s="18" t="s">
        <v>69</v>
      </c>
      <c r="R19" s="13" t="s">
        <v>127</v>
      </c>
    </row>
    <row r="20" spans="1:18" s="1" customFormat="1" ht="47.25" customHeight="1" x14ac:dyDescent="1.05">
      <c r="A20" s="20">
        <v>260601511</v>
      </c>
      <c r="B20" s="20"/>
      <c r="C20" s="22" t="s">
        <v>139</v>
      </c>
      <c r="D20" s="22" t="s">
        <v>140</v>
      </c>
      <c r="E20" s="20">
        <v>3</v>
      </c>
      <c r="F20" s="13">
        <v>0</v>
      </c>
      <c r="G20" s="20">
        <v>3</v>
      </c>
      <c r="H20" s="20"/>
      <c r="I20" s="20"/>
      <c r="J20" s="20"/>
      <c r="K20" s="13">
        <f t="shared" si="1"/>
        <v>3</v>
      </c>
      <c r="L20" s="20"/>
      <c r="M20" s="20"/>
      <c r="N20" s="20"/>
      <c r="O20" s="18" t="s">
        <v>99</v>
      </c>
      <c r="P20" s="18" t="s">
        <v>99</v>
      </c>
      <c r="Q20" s="18" t="s">
        <v>106</v>
      </c>
      <c r="R20" s="13" t="s">
        <v>128</v>
      </c>
    </row>
    <row r="21" spans="1:18" ht="70.5" customHeight="1" x14ac:dyDescent="1.05">
      <c r="A21" s="9"/>
      <c r="B21" s="9"/>
      <c r="C21" s="19"/>
      <c r="D21" s="3"/>
      <c r="E21" s="9"/>
      <c r="F21" s="9"/>
      <c r="G21" s="9"/>
      <c r="H21" s="7">
        <f>SUM(H4:H6)</f>
        <v>0</v>
      </c>
      <c r="I21" s="7">
        <f>SUM(I4:I6)</f>
        <v>0</v>
      </c>
      <c r="J21" s="7">
        <f>SUM(J4:J6)</f>
        <v>0</v>
      </c>
      <c r="K21" s="7">
        <f>SUM(K4:K20)</f>
        <v>19</v>
      </c>
      <c r="L21" s="1"/>
      <c r="M21" s="7">
        <f>SUM(M4:M20)</f>
        <v>0</v>
      </c>
      <c r="N21" s="7">
        <f>SUM(N4:N6)</f>
        <v>0</v>
      </c>
      <c r="O21" s="1"/>
      <c r="P21" s="9"/>
      <c r="Q21" s="9"/>
      <c r="R21" s="3"/>
    </row>
    <row r="22" spans="1:18" x14ac:dyDescent="1.05">
      <c r="O22" s="35" t="s">
        <v>16</v>
      </c>
      <c r="P22" s="35"/>
      <c r="Q22" s="35"/>
      <c r="R22" s="35"/>
    </row>
  </sheetData>
  <autoFilter ref="A3:R22" xr:uid="{74D23CE6-8328-47E4-B21B-009B33D12A3C}"/>
  <mergeCells count="3">
    <mergeCell ref="A2:P2"/>
    <mergeCell ref="Q2:R2"/>
    <mergeCell ref="O22:R22"/>
  </mergeCells>
  <phoneticPr fontId="1" type="noConversion"/>
  <pageMargins left="0.31496062992125984" right="0.31496062992125984" top="0.19685039370078741" bottom="0.15748031496062992" header="0.15748031496062992" footer="0.15748031496062992"/>
  <pageSetup paperSize="9" scale="2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796F-8453-4422-B1AF-1C659E77CAC5}">
  <sheetPr>
    <pageSetUpPr fitToPage="1"/>
  </sheetPr>
  <dimension ref="A1:Q17"/>
  <sheetViews>
    <sheetView zoomScale="30" zoomScaleNormal="30" zoomScaleSheetLayoutView="20" workbookViewId="0">
      <selection activeCell="H14" sqref="H14"/>
    </sheetView>
  </sheetViews>
  <sheetFormatPr defaultColWidth="9.125" defaultRowHeight="51.75" x14ac:dyDescent="1.05"/>
  <cols>
    <col min="1" max="1" width="24.875" style="9" customWidth="1"/>
    <col min="2" max="2" width="43.875" style="2" customWidth="1"/>
    <col min="3" max="3" width="169.375" style="3" bestFit="1" customWidth="1"/>
    <col min="4" max="4" width="18.625" style="1" customWidth="1"/>
    <col min="5" max="5" width="19.375" style="1" customWidth="1"/>
    <col min="6" max="6" width="16.125" style="1" customWidth="1"/>
    <col min="7" max="7" width="20.125" style="1" customWidth="1"/>
    <col min="8" max="8" width="18.625" style="1" customWidth="1"/>
    <col min="9" max="9" width="20.125" style="1" customWidth="1"/>
    <col min="10" max="10" width="20.75" style="1" customWidth="1"/>
    <col min="11" max="11" width="42.125" style="1" customWidth="1"/>
    <col min="12" max="13" width="20" style="1" customWidth="1"/>
    <col min="14" max="16" width="19.25" style="1" customWidth="1"/>
    <col min="17" max="17" width="37.5" style="1" customWidth="1"/>
    <col min="18" max="16384" width="9.125" style="3"/>
  </cols>
  <sheetData>
    <row r="1" spans="1:17" ht="170.1" customHeight="1" x14ac:dyDescent="1.05"/>
    <row r="2" spans="1:17" ht="60" customHeight="1" x14ac:dyDescent="0.2">
      <c r="A2" s="29" t="s">
        <v>143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  <c r="P2" s="34" t="s">
        <v>19</v>
      </c>
      <c r="Q2" s="34"/>
    </row>
    <row r="3" spans="1:17" s="1" customFormat="1" ht="54.95" customHeight="1" x14ac:dyDescent="0.2">
      <c r="A3" s="8" t="s">
        <v>0</v>
      </c>
      <c r="B3" s="8" t="s">
        <v>1</v>
      </c>
      <c r="C3" s="8" t="s">
        <v>2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3</v>
      </c>
      <c r="O3" s="8" t="s">
        <v>4</v>
      </c>
      <c r="P3" s="8" t="s">
        <v>5</v>
      </c>
      <c r="Q3" s="8" t="s">
        <v>13</v>
      </c>
    </row>
    <row r="4" spans="1:17" s="6" customFormat="1" ht="50.1" customHeight="1" x14ac:dyDescent="1.05">
      <c r="A4" s="20">
        <v>260601090</v>
      </c>
      <c r="B4" s="21" t="s">
        <v>34</v>
      </c>
      <c r="C4" s="22" t="s">
        <v>35</v>
      </c>
      <c r="D4" s="20">
        <v>50</v>
      </c>
      <c r="E4" s="20">
        <v>20</v>
      </c>
      <c r="F4" s="20">
        <v>30</v>
      </c>
      <c r="G4" s="20"/>
      <c r="H4" s="20">
        <v>30</v>
      </c>
      <c r="I4" s="20"/>
      <c r="J4" s="20">
        <f>F4-L4-M4</f>
        <v>0</v>
      </c>
      <c r="K4" s="13"/>
      <c r="L4" s="20">
        <v>30</v>
      </c>
      <c r="M4" s="20"/>
      <c r="N4" s="20" t="s">
        <v>54</v>
      </c>
      <c r="O4" s="20" t="s">
        <v>62</v>
      </c>
      <c r="P4" s="20" t="s">
        <v>73</v>
      </c>
      <c r="Q4" s="5" t="s">
        <v>21</v>
      </c>
    </row>
    <row r="5" spans="1:17" s="6" customFormat="1" ht="50.1" customHeight="1" x14ac:dyDescent="1.05">
      <c r="A5" s="20">
        <v>260601092</v>
      </c>
      <c r="B5" s="21" t="s">
        <v>30</v>
      </c>
      <c r="C5" s="22" t="s">
        <v>31</v>
      </c>
      <c r="D5" s="20">
        <v>50</v>
      </c>
      <c r="E5" s="20">
        <v>31</v>
      </c>
      <c r="F5" s="20">
        <v>19</v>
      </c>
      <c r="G5" s="20"/>
      <c r="H5" s="20">
        <v>19</v>
      </c>
      <c r="I5" s="20"/>
      <c r="J5" s="20">
        <f t="shared" ref="J5:J15" si="0">F5-L5-M5</f>
        <v>0</v>
      </c>
      <c r="K5" s="13"/>
      <c r="L5" s="20">
        <v>19</v>
      </c>
      <c r="M5" s="20"/>
      <c r="N5" s="20" t="s">
        <v>54</v>
      </c>
      <c r="O5" s="20" t="s">
        <v>62</v>
      </c>
      <c r="P5" s="20" t="s">
        <v>73</v>
      </c>
      <c r="Q5" s="5" t="s">
        <v>21</v>
      </c>
    </row>
    <row r="6" spans="1:17" s="6" customFormat="1" ht="50.1" customHeight="1" x14ac:dyDescent="1.05">
      <c r="A6" s="20">
        <v>260601385</v>
      </c>
      <c r="B6" s="21" t="s">
        <v>34</v>
      </c>
      <c r="C6" s="22" t="s">
        <v>35</v>
      </c>
      <c r="D6" s="20">
        <v>100</v>
      </c>
      <c r="E6" s="20">
        <v>0</v>
      </c>
      <c r="F6" s="20">
        <v>100</v>
      </c>
      <c r="G6" s="20"/>
      <c r="H6" s="20"/>
      <c r="I6" s="20"/>
      <c r="J6" s="20">
        <f t="shared" si="0"/>
        <v>100</v>
      </c>
      <c r="K6" s="13"/>
      <c r="L6" s="20"/>
      <c r="M6" s="20"/>
      <c r="N6" s="20" t="s">
        <v>62</v>
      </c>
      <c r="O6" s="20" t="s">
        <v>82</v>
      </c>
      <c r="P6" s="20" t="s">
        <v>83</v>
      </c>
      <c r="Q6" s="5" t="s">
        <v>49</v>
      </c>
    </row>
    <row r="7" spans="1:17" s="6" customFormat="1" ht="50.1" customHeight="1" x14ac:dyDescent="1.05">
      <c r="A7" s="20">
        <v>260601390</v>
      </c>
      <c r="B7" s="21" t="s">
        <v>30</v>
      </c>
      <c r="C7" s="22" t="s">
        <v>31</v>
      </c>
      <c r="D7" s="20">
        <v>50</v>
      </c>
      <c r="E7" s="20">
        <v>0</v>
      </c>
      <c r="F7" s="20">
        <v>50</v>
      </c>
      <c r="G7" s="20"/>
      <c r="H7" s="20"/>
      <c r="I7" s="20"/>
      <c r="J7" s="20">
        <f t="shared" si="0"/>
        <v>50</v>
      </c>
      <c r="K7" s="13"/>
      <c r="L7" s="20"/>
      <c r="M7" s="20"/>
      <c r="N7" s="20" t="s">
        <v>62</v>
      </c>
      <c r="O7" s="20" t="s">
        <v>82</v>
      </c>
      <c r="P7" s="20" t="s">
        <v>83</v>
      </c>
      <c r="Q7" s="5" t="s">
        <v>49</v>
      </c>
    </row>
    <row r="8" spans="1:17" s="6" customFormat="1" ht="50.1" customHeight="1" x14ac:dyDescent="1.05">
      <c r="A8" s="20">
        <v>260601392</v>
      </c>
      <c r="B8" s="21" t="s">
        <v>30</v>
      </c>
      <c r="C8" s="22" t="s">
        <v>31</v>
      </c>
      <c r="D8" s="20">
        <v>50</v>
      </c>
      <c r="E8" s="20">
        <v>0</v>
      </c>
      <c r="F8" s="20">
        <v>50</v>
      </c>
      <c r="G8" s="20"/>
      <c r="H8" s="20"/>
      <c r="I8" s="20"/>
      <c r="J8" s="20">
        <f t="shared" si="0"/>
        <v>50</v>
      </c>
      <c r="K8" s="13"/>
      <c r="L8" s="20"/>
      <c r="M8" s="20"/>
      <c r="N8" s="20" t="s">
        <v>62</v>
      </c>
      <c r="O8" s="20" t="s">
        <v>82</v>
      </c>
      <c r="P8" s="20" t="s">
        <v>83</v>
      </c>
      <c r="Q8" s="5" t="s">
        <v>49</v>
      </c>
    </row>
    <row r="9" spans="1:17" s="6" customFormat="1" ht="50.1" customHeight="1" x14ac:dyDescent="1.05">
      <c r="A9" s="20">
        <v>260601394</v>
      </c>
      <c r="B9" s="21" t="s">
        <v>59</v>
      </c>
      <c r="C9" s="22" t="s">
        <v>60</v>
      </c>
      <c r="D9" s="20">
        <v>100</v>
      </c>
      <c r="E9" s="20">
        <v>50</v>
      </c>
      <c r="F9" s="20">
        <v>50</v>
      </c>
      <c r="G9" s="20"/>
      <c r="H9" s="20"/>
      <c r="I9" s="20">
        <v>50</v>
      </c>
      <c r="J9" s="20">
        <f t="shared" si="0"/>
        <v>0</v>
      </c>
      <c r="K9" s="13"/>
      <c r="L9" s="20">
        <v>50</v>
      </c>
      <c r="M9" s="20"/>
      <c r="N9" s="20" t="s">
        <v>62</v>
      </c>
      <c r="O9" s="20" t="s">
        <v>82</v>
      </c>
      <c r="P9" s="20" t="s">
        <v>83</v>
      </c>
      <c r="Q9" s="5" t="s">
        <v>49</v>
      </c>
    </row>
    <row r="10" spans="1:17" s="6" customFormat="1" ht="50.1" customHeight="1" x14ac:dyDescent="1.05">
      <c r="A10" s="20">
        <v>260601404</v>
      </c>
      <c r="B10" s="21" t="s">
        <v>32</v>
      </c>
      <c r="C10" s="22" t="s">
        <v>33</v>
      </c>
      <c r="D10" s="20">
        <v>200</v>
      </c>
      <c r="E10" s="20">
        <v>0</v>
      </c>
      <c r="F10" s="20">
        <v>200</v>
      </c>
      <c r="G10" s="20"/>
      <c r="H10" s="20"/>
      <c r="I10" s="20"/>
      <c r="J10" s="20">
        <f t="shared" si="0"/>
        <v>200</v>
      </c>
      <c r="K10" s="13"/>
      <c r="L10" s="20"/>
      <c r="M10" s="20"/>
      <c r="N10" s="20" t="s">
        <v>62</v>
      </c>
      <c r="O10" s="20" t="s">
        <v>82</v>
      </c>
      <c r="P10" s="20" t="s">
        <v>83</v>
      </c>
      <c r="Q10" s="5" t="s">
        <v>49</v>
      </c>
    </row>
    <row r="11" spans="1:17" s="6" customFormat="1" ht="50.1" customHeight="1" x14ac:dyDescent="1.05">
      <c r="A11" s="20">
        <v>260601405</v>
      </c>
      <c r="B11" s="21" t="s">
        <v>74</v>
      </c>
      <c r="C11" s="22" t="s">
        <v>75</v>
      </c>
      <c r="D11" s="20">
        <v>50</v>
      </c>
      <c r="E11" s="20">
        <v>0</v>
      </c>
      <c r="F11" s="20">
        <v>50</v>
      </c>
      <c r="G11" s="20"/>
      <c r="H11" s="20"/>
      <c r="I11" s="20">
        <v>30</v>
      </c>
      <c r="J11" s="20">
        <f t="shared" si="0"/>
        <v>20</v>
      </c>
      <c r="K11" s="13"/>
      <c r="L11" s="20">
        <v>30</v>
      </c>
      <c r="M11" s="20"/>
      <c r="N11" s="20" t="s">
        <v>62</v>
      </c>
      <c r="O11" s="20" t="s">
        <v>82</v>
      </c>
      <c r="P11" s="20" t="s">
        <v>82</v>
      </c>
      <c r="Q11" s="5" t="s">
        <v>49</v>
      </c>
    </row>
    <row r="12" spans="1:17" s="6" customFormat="1" ht="50.1" customHeight="1" x14ac:dyDescent="1.05">
      <c r="A12" s="20">
        <v>260601408</v>
      </c>
      <c r="B12" s="21" t="s">
        <v>84</v>
      </c>
      <c r="C12" s="22" t="s">
        <v>85</v>
      </c>
      <c r="D12" s="20">
        <v>20</v>
      </c>
      <c r="E12" s="20">
        <v>0</v>
      </c>
      <c r="F12" s="20">
        <v>20</v>
      </c>
      <c r="G12" s="20"/>
      <c r="H12" s="20"/>
      <c r="I12" s="20">
        <v>20</v>
      </c>
      <c r="J12" s="20">
        <f t="shared" si="0"/>
        <v>0</v>
      </c>
      <c r="K12" s="13"/>
      <c r="L12" s="20">
        <v>20</v>
      </c>
      <c r="M12" s="20"/>
      <c r="N12" s="20" t="s">
        <v>62</v>
      </c>
      <c r="O12" s="20" t="s">
        <v>82</v>
      </c>
      <c r="P12" s="20" t="s">
        <v>83</v>
      </c>
      <c r="Q12" s="5" t="s">
        <v>49</v>
      </c>
    </row>
    <row r="13" spans="1:17" s="6" customFormat="1" ht="50.1" customHeight="1" x14ac:dyDescent="1.05">
      <c r="A13" s="20">
        <v>260601792</v>
      </c>
      <c r="B13" s="21" t="s">
        <v>80</v>
      </c>
      <c r="C13" s="22" t="s">
        <v>81</v>
      </c>
      <c r="D13" s="20">
        <v>50</v>
      </c>
      <c r="E13" s="20">
        <v>40</v>
      </c>
      <c r="F13" s="20">
        <v>10</v>
      </c>
      <c r="G13" s="20"/>
      <c r="H13" s="20"/>
      <c r="I13" s="20"/>
      <c r="J13" s="20">
        <f t="shared" si="0"/>
        <v>10</v>
      </c>
      <c r="K13" s="13"/>
      <c r="L13" s="20"/>
      <c r="M13" s="20"/>
      <c r="N13" s="20" t="s">
        <v>68</v>
      </c>
      <c r="O13" s="20" t="s">
        <v>68</v>
      </c>
      <c r="P13" s="20" t="s">
        <v>70</v>
      </c>
      <c r="Q13" s="5" t="s">
        <v>49</v>
      </c>
    </row>
    <row r="14" spans="1:17" s="6" customFormat="1" ht="50.1" customHeight="1" x14ac:dyDescent="1.05">
      <c r="A14" s="20">
        <v>260602123</v>
      </c>
      <c r="B14" s="21" t="s">
        <v>117</v>
      </c>
      <c r="C14" s="22" t="s">
        <v>118</v>
      </c>
      <c r="D14" s="20">
        <v>20</v>
      </c>
      <c r="E14" s="20">
        <v>0</v>
      </c>
      <c r="F14" s="20">
        <v>20</v>
      </c>
      <c r="G14" s="20"/>
      <c r="H14" s="20"/>
      <c r="I14" s="20"/>
      <c r="J14" s="20">
        <f t="shared" si="0"/>
        <v>20</v>
      </c>
      <c r="K14" s="13"/>
      <c r="L14" s="20"/>
      <c r="M14" s="20"/>
      <c r="N14" s="20" t="s">
        <v>99</v>
      </c>
      <c r="O14" s="20" t="s">
        <v>107</v>
      </c>
      <c r="P14" s="20" t="s">
        <v>108</v>
      </c>
      <c r="Q14" s="5" t="s">
        <v>21</v>
      </c>
    </row>
    <row r="15" spans="1:17" s="6" customFormat="1" ht="50.1" customHeight="1" x14ac:dyDescent="1.05">
      <c r="A15" s="20">
        <v>260602131</v>
      </c>
      <c r="B15" s="21" t="s">
        <v>119</v>
      </c>
      <c r="C15" s="22" t="s">
        <v>120</v>
      </c>
      <c r="D15" s="20">
        <v>30</v>
      </c>
      <c r="E15" s="20">
        <v>0</v>
      </c>
      <c r="F15" s="20">
        <v>30</v>
      </c>
      <c r="G15" s="20"/>
      <c r="H15" s="20"/>
      <c r="I15" s="20"/>
      <c r="J15" s="20">
        <f t="shared" si="0"/>
        <v>30</v>
      </c>
      <c r="K15" s="13"/>
      <c r="L15" s="20"/>
      <c r="M15" s="20"/>
      <c r="N15" s="20" t="s">
        <v>99</v>
      </c>
      <c r="O15" s="20" t="s">
        <v>107</v>
      </c>
      <c r="P15" s="20" t="s">
        <v>108</v>
      </c>
      <c r="Q15" s="5" t="s">
        <v>21</v>
      </c>
    </row>
    <row r="16" spans="1:17" ht="69.95" customHeight="1" x14ac:dyDescent="1.05">
      <c r="G16" s="7">
        <f>SUM(G4:G15)</f>
        <v>0</v>
      </c>
      <c r="H16" s="7">
        <f>SUM(H4:H15)</f>
        <v>49</v>
      </c>
      <c r="I16" s="7">
        <f>SUM(I4:I15)</f>
        <v>100</v>
      </c>
      <c r="J16" s="7">
        <f>SUM(J4:J15)</f>
        <v>480</v>
      </c>
      <c r="L16" s="4">
        <f>SUM(L4:L15)</f>
        <v>149</v>
      </c>
      <c r="M16" s="7">
        <f>SUM(M4:M15)</f>
        <v>0</v>
      </c>
      <c r="Q16" s="3"/>
    </row>
    <row r="17" spans="14:17" x14ac:dyDescent="1.05">
      <c r="N17" s="33" t="s">
        <v>16</v>
      </c>
      <c r="O17" s="33"/>
      <c r="P17" s="33"/>
      <c r="Q17" s="33"/>
    </row>
  </sheetData>
  <autoFilter ref="A3:Q17" xr:uid="{C9E4DAC1-2A47-4789-9C12-1872284E5A36}"/>
  <mergeCells count="3">
    <mergeCell ref="A2:O2"/>
    <mergeCell ref="P2:Q2"/>
    <mergeCell ref="N17:Q17"/>
  </mergeCells>
  <phoneticPr fontId="1" type="noConversion"/>
  <pageMargins left="0.23622047244094491" right="0.23622047244094491" top="0.16" bottom="0.34" header="0.15748031496062992" footer="0.15748031496062992"/>
  <pageSetup paperSize="9" scale="24" fitToHeight="0" orientation="landscape" r:id="rId1"/>
  <headerFooter>
    <oddFooter>&amp;C&amp;28หน้า &amp;P /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BD53-128A-4A2B-A50E-3AC4B5D0ED4C}">
  <sheetPr>
    <pageSetUpPr fitToPage="1"/>
  </sheetPr>
  <dimension ref="A1:Q17"/>
  <sheetViews>
    <sheetView zoomScale="40" zoomScaleNormal="40" zoomScaleSheetLayoutView="40" workbookViewId="0">
      <selection activeCell="K10" sqref="K10"/>
    </sheetView>
  </sheetViews>
  <sheetFormatPr defaultColWidth="9.125" defaultRowHeight="51.75" x14ac:dyDescent="0.2"/>
  <cols>
    <col min="1" max="1" width="27.25" style="1" customWidth="1"/>
    <col min="2" max="2" width="44.75" style="2" customWidth="1"/>
    <col min="3" max="3" width="119.75" style="3" customWidth="1"/>
    <col min="4" max="6" width="16.875" style="1" customWidth="1"/>
    <col min="7" max="7" width="22.125" style="1" customWidth="1"/>
    <col min="8" max="8" width="18.25" style="1" customWidth="1"/>
    <col min="9" max="9" width="17" style="1" customWidth="1"/>
    <col min="10" max="10" width="22.375" style="1" bestFit="1" customWidth="1"/>
    <col min="11" max="11" width="25.375" style="1" customWidth="1"/>
    <col min="12" max="12" width="17.75" style="1" customWidth="1"/>
    <col min="13" max="13" width="19.75" style="1" customWidth="1"/>
    <col min="14" max="14" width="18.75" style="1" customWidth="1"/>
    <col min="15" max="15" width="18.125" style="1" customWidth="1"/>
    <col min="16" max="16" width="17.75" style="1" customWidth="1"/>
    <col min="17" max="17" width="39" style="1" customWidth="1"/>
    <col min="18" max="16384" width="9.125" style="3"/>
  </cols>
  <sheetData>
    <row r="1" spans="1:17" ht="180.75" customHeight="1" x14ac:dyDescent="0.2"/>
    <row r="2" spans="1:17" ht="60" customHeight="1" x14ac:dyDescent="0.2">
      <c r="A2" s="29" t="s">
        <v>143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  <c r="P2" s="37" t="s">
        <v>22</v>
      </c>
      <c r="Q2" s="38"/>
    </row>
    <row r="3" spans="1:17" s="1" customFormat="1" ht="54.95" customHeight="1" x14ac:dyDescent="0.2">
      <c r="A3" s="8" t="s">
        <v>0</v>
      </c>
      <c r="B3" s="8" t="s">
        <v>1</v>
      </c>
      <c r="C3" s="8" t="s">
        <v>2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3</v>
      </c>
      <c r="O3" s="8" t="s">
        <v>4</v>
      </c>
      <c r="P3" s="8" t="s">
        <v>5</v>
      </c>
      <c r="Q3" s="8" t="s">
        <v>13</v>
      </c>
    </row>
    <row r="4" spans="1:17" s="6" customFormat="1" ht="50.1" customHeight="1" x14ac:dyDescent="1.05">
      <c r="A4" s="20">
        <v>260600303</v>
      </c>
      <c r="B4" s="22" t="s">
        <v>38</v>
      </c>
      <c r="C4" s="22" t="s">
        <v>39</v>
      </c>
      <c r="D4" s="20">
        <v>100</v>
      </c>
      <c r="E4" s="20">
        <v>72</v>
      </c>
      <c r="F4" s="20">
        <v>28</v>
      </c>
      <c r="G4" s="20"/>
      <c r="H4" s="20">
        <v>20</v>
      </c>
      <c r="I4" s="20"/>
      <c r="J4" s="20">
        <f>F4-L4-M4</f>
        <v>8</v>
      </c>
      <c r="K4" s="22"/>
      <c r="L4" s="20">
        <v>20</v>
      </c>
      <c r="M4" s="20"/>
      <c r="N4" s="20" t="s">
        <v>48</v>
      </c>
      <c r="O4" s="20" t="s">
        <v>48</v>
      </c>
      <c r="P4" s="20" t="s">
        <v>54</v>
      </c>
      <c r="Q4" s="5" t="s">
        <v>49</v>
      </c>
    </row>
    <row r="5" spans="1:17" s="6" customFormat="1" ht="50.1" customHeight="1" x14ac:dyDescent="1.05">
      <c r="A5" s="20">
        <v>260601427</v>
      </c>
      <c r="B5" s="22" t="s">
        <v>36</v>
      </c>
      <c r="C5" s="22" t="s">
        <v>37</v>
      </c>
      <c r="D5" s="20">
        <v>100</v>
      </c>
      <c r="E5" s="20">
        <v>0</v>
      </c>
      <c r="F5" s="20">
        <v>100</v>
      </c>
      <c r="G5" s="20"/>
      <c r="H5" s="20">
        <v>80</v>
      </c>
      <c r="I5" s="20"/>
      <c r="J5" s="20">
        <f t="shared" ref="J5:J11" si="0">F5-L5-M5</f>
        <v>20</v>
      </c>
      <c r="K5" s="22"/>
      <c r="L5" s="20">
        <v>80</v>
      </c>
      <c r="M5" s="20"/>
      <c r="N5" s="20" t="s">
        <v>62</v>
      </c>
      <c r="O5" s="20" t="s">
        <v>82</v>
      </c>
      <c r="P5" s="20" t="s">
        <v>82</v>
      </c>
      <c r="Q5" s="5" t="s">
        <v>49</v>
      </c>
    </row>
    <row r="6" spans="1:17" s="6" customFormat="1" ht="50.1" customHeight="1" x14ac:dyDescent="1.05">
      <c r="A6" s="20">
        <v>260601429</v>
      </c>
      <c r="B6" s="22" t="s">
        <v>57</v>
      </c>
      <c r="C6" s="22" t="s">
        <v>58</v>
      </c>
      <c r="D6" s="20">
        <v>100</v>
      </c>
      <c r="E6" s="20">
        <v>0</v>
      </c>
      <c r="F6" s="20">
        <v>100</v>
      </c>
      <c r="G6" s="20"/>
      <c r="H6" s="20"/>
      <c r="I6" s="20"/>
      <c r="J6" s="20">
        <f t="shared" si="0"/>
        <v>100</v>
      </c>
      <c r="K6" s="22"/>
      <c r="L6" s="20"/>
      <c r="M6" s="20"/>
      <c r="N6" s="20" t="s">
        <v>62</v>
      </c>
      <c r="O6" s="20" t="s">
        <v>82</v>
      </c>
      <c r="P6" s="20" t="s">
        <v>83</v>
      </c>
      <c r="Q6" s="5" t="s">
        <v>49</v>
      </c>
    </row>
    <row r="7" spans="1:17" s="6" customFormat="1" ht="50.1" customHeight="1" x14ac:dyDescent="1.05">
      <c r="A7" s="20">
        <v>260601432</v>
      </c>
      <c r="B7" s="22" t="s">
        <v>38</v>
      </c>
      <c r="C7" s="22" t="s">
        <v>39</v>
      </c>
      <c r="D7" s="20">
        <v>100</v>
      </c>
      <c r="E7" s="20">
        <v>0</v>
      </c>
      <c r="F7" s="20">
        <v>100</v>
      </c>
      <c r="G7" s="20"/>
      <c r="H7" s="20"/>
      <c r="I7" s="20"/>
      <c r="J7" s="20">
        <f t="shared" si="0"/>
        <v>100</v>
      </c>
      <c r="K7" s="22"/>
      <c r="L7" s="20"/>
      <c r="M7" s="20"/>
      <c r="N7" s="20" t="s">
        <v>62</v>
      </c>
      <c r="O7" s="20" t="s">
        <v>82</v>
      </c>
      <c r="P7" s="20" t="s">
        <v>83</v>
      </c>
      <c r="Q7" s="5" t="s">
        <v>49</v>
      </c>
    </row>
    <row r="8" spans="1:17" s="6" customFormat="1" ht="50.1" customHeight="1" x14ac:dyDescent="1.05">
      <c r="A8" s="20">
        <v>260602047</v>
      </c>
      <c r="B8" s="22" t="s">
        <v>113</v>
      </c>
      <c r="C8" s="22" t="s">
        <v>114</v>
      </c>
      <c r="D8" s="20">
        <v>10</v>
      </c>
      <c r="E8" s="20">
        <v>0</v>
      </c>
      <c r="F8" s="20">
        <v>10</v>
      </c>
      <c r="G8" s="20"/>
      <c r="H8" s="20"/>
      <c r="I8" s="20"/>
      <c r="J8" s="20">
        <f t="shared" si="0"/>
        <v>10</v>
      </c>
      <c r="K8" s="22"/>
      <c r="L8" s="20"/>
      <c r="M8" s="20"/>
      <c r="N8" s="20" t="s">
        <v>99</v>
      </c>
      <c r="O8" s="20" t="s">
        <v>99</v>
      </c>
      <c r="P8" s="20" t="s">
        <v>106</v>
      </c>
      <c r="Q8" s="5" t="s">
        <v>121</v>
      </c>
    </row>
    <row r="9" spans="1:17" s="6" customFormat="1" ht="50.1" customHeight="1" x14ac:dyDescent="1.05">
      <c r="A9" s="20">
        <v>260602124</v>
      </c>
      <c r="B9" s="22" t="s">
        <v>115</v>
      </c>
      <c r="C9" s="22" t="s">
        <v>116</v>
      </c>
      <c r="D9" s="20">
        <v>30</v>
      </c>
      <c r="E9" s="20">
        <v>0</v>
      </c>
      <c r="F9" s="20">
        <v>30</v>
      </c>
      <c r="G9" s="20"/>
      <c r="H9" s="20"/>
      <c r="I9" s="20"/>
      <c r="J9" s="20">
        <f t="shared" si="0"/>
        <v>30</v>
      </c>
      <c r="K9" s="22"/>
      <c r="L9" s="20"/>
      <c r="M9" s="20"/>
      <c r="N9" s="20" t="s">
        <v>99</v>
      </c>
      <c r="O9" s="20" t="s">
        <v>107</v>
      </c>
      <c r="P9" s="20" t="s">
        <v>108</v>
      </c>
      <c r="Q9" s="5" t="s">
        <v>21</v>
      </c>
    </row>
    <row r="10" spans="1:17" s="6" customFormat="1" ht="50.1" customHeight="1" x14ac:dyDescent="1.05">
      <c r="A10" s="20">
        <v>260602125</v>
      </c>
      <c r="B10" s="22" t="s">
        <v>113</v>
      </c>
      <c r="C10" s="22" t="s">
        <v>114</v>
      </c>
      <c r="D10" s="20">
        <v>30</v>
      </c>
      <c r="E10" s="20">
        <v>0</v>
      </c>
      <c r="F10" s="20">
        <v>30</v>
      </c>
      <c r="G10" s="20">
        <v>1</v>
      </c>
      <c r="H10" s="20">
        <v>29</v>
      </c>
      <c r="I10" s="20"/>
      <c r="J10" s="20">
        <f t="shared" si="0"/>
        <v>0</v>
      </c>
      <c r="K10" s="22"/>
      <c r="L10" s="20">
        <v>30</v>
      </c>
      <c r="M10" s="20"/>
      <c r="N10" s="20" t="s">
        <v>99</v>
      </c>
      <c r="O10" s="20" t="s">
        <v>107</v>
      </c>
      <c r="P10" s="20" t="s">
        <v>108</v>
      </c>
      <c r="Q10" s="5" t="s">
        <v>21</v>
      </c>
    </row>
    <row r="11" spans="1:17" s="6" customFormat="1" ht="50.1" customHeight="1" x14ac:dyDescent="1.05">
      <c r="A11" s="20">
        <v>260602126</v>
      </c>
      <c r="B11" s="22" t="s">
        <v>104</v>
      </c>
      <c r="C11" s="22" t="s">
        <v>105</v>
      </c>
      <c r="D11" s="20">
        <v>30</v>
      </c>
      <c r="E11" s="20">
        <v>0</v>
      </c>
      <c r="F11" s="20">
        <v>30</v>
      </c>
      <c r="G11" s="20"/>
      <c r="H11" s="20"/>
      <c r="I11" s="20"/>
      <c r="J11" s="20">
        <f t="shared" si="0"/>
        <v>30</v>
      </c>
      <c r="K11" s="22"/>
      <c r="L11" s="20"/>
      <c r="M11" s="20"/>
      <c r="N11" s="20" t="s">
        <v>99</v>
      </c>
      <c r="O11" s="20" t="s">
        <v>107</v>
      </c>
      <c r="P11" s="20" t="s">
        <v>108</v>
      </c>
      <c r="Q11" s="5" t="s">
        <v>21</v>
      </c>
    </row>
    <row r="12" spans="1:17" ht="69.95" customHeight="1" x14ac:dyDescent="0.2">
      <c r="G12" s="23">
        <f>SUM(G4:G11)</f>
        <v>1</v>
      </c>
      <c r="H12" s="23">
        <f>SUM(H4:H11)</f>
        <v>129</v>
      </c>
      <c r="I12" s="23">
        <f>SUM(I4:I11)</f>
        <v>0</v>
      </c>
      <c r="J12" s="23">
        <f>SUM(J4:J11)</f>
        <v>298</v>
      </c>
      <c r="K12" s="24"/>
      <c r="L12" s="23">
        <f>SUM(L4:L11)</f>
        <v>130</v>
      </c>
      <c r="M12" s="23">
        <f>SUM(M4:M11)</f>
        <v>0</v>
      </c>
      <c r="P12" s="3"/>
      <c r="Q12" s="3"/>
    </row>
    <row r="13" spans="1:17" ht="50.1" customHeight="1" x14ac:dyDescent="1.05">
      <c r="N13" s="35" t="s">
        <v>16</v>
      </c>
      <c r="O13" s="35"/>
      <c r="P13" s="35"/>
      <c r="Q13" s="35"/>
    </row>
    <row r="14" spans="1:17" ht="50.1" customHeight="1" x14ac:dyDescent="0.2"/>
    <row r="15" spans="1:17" ht="50.1" customHeight="1" x14ac:dyDescent="0.2"/>
    <row r="16" spans="1:17" ht="50.1" customHeight="1" x14ac:dyDescent="1.05">
      <c r="J16" s="1" t="s">
        <v>25</v>
      </c>
      <c r="K16" s="10"/>
    </row>
    <row r="17" spans="1:16" ht="45" customHeight="1" x14ac:dyDescent="1.05">
      <c r="A17" s="10"/>
      <c r="B17" s="11"/>
      <c r="C17" s="12"/>
      <c r="D17" s="10"/>
      <c r="E17" s="10"/>
      <c r="F17" s="10"/>
      <c r="G17" s="10"/>
      <c r="H17" s="10"/>
      <c r="I17" s="10"/>
      <c r="J17" s="10"/>
      <c r="L17" s="10"/>
      <c r="M17" s="10"/>
      <c r="N17" s="10"/>
      <c r="O17" s="10"/>
      <c r="P17" s="10"/>
    </row>
  </sheetData>
  <autoFilter ref="A3:Q13" xr:uid="{605EED14-94ED-4E5F-B57D-EFEBF362B4A9}"/>
  <mergeCells count="3">
    <mergeCell ref="A2:O2"/>
    <mergeCell ref="P2:Q2"/>
    <mergeCell ref="N13:Q13"/>
  </mergeCells>
  <phoneticPr fontId="1" type="noConversion"/>
  <pageMargins left="0.25" right="0.25" top="0.31" bottom="0.75" header="0.3" footer="0.3"/>
  <pageSetup paperSize="9" scale="2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2</vt:i4>
      </vt:variant>
    </vt:vector>
  </HeadingPairs>
  <TitlesOfParts>
    <vt:vector size="7" baseType="lpstr">
      <vt:lpstr>0416 </vt:lpstr>
      <vt:lpstr>0417</vt:lpstr>
      <vt:lpstr>0121</vt:lpstr>
      <vt:lpstr>0219 </vt:lpstr>
      <vt:lpstr>0303</vt:lpstr>
      <vt:lpstr>'0219 '!Print_Titles</vt:lpstr>
      <vt:lpstr>'0416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Saranporn.D</dc:creator>
  <cp:lastModifiedBy>Jeerawan.K</cp:lastModifiedBy>
  <cp:lastPrinted>2026-06-20T03:00:45Z</cp:lastPrinted>
  <dcterms:created xsi:type="dcterms:W3CDTF">2023-02-20T12:04:28Z</dcterms:created>
  <dcterms:modified xsi:type="dcterms:W3CDTF">2026-06-20T03:07:49Z</dcterms:modified>
</cp:coreProperties>
</file>